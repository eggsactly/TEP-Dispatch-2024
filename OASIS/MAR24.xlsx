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ally\Desktop\"/>
    </mc:Choice>
  </mc:AlternateContent>
  <xr:revisionPtr revIDLastSave="0" documentId="8_{343BB090-9344-492A-AC8C-796AA8AAFF72}" xr6:coauthVersionLast="47" xr6:coauthVersionMax="47" xr10:uidLastSave="{00000000-0000-0000-0000-000000000000}"/>
  <bookViews>
    <workbookView xWindow="348" yWindow="228" windowWidth="22692" windowHeight="11904" xr2:uid="{67155F58-9175-44F7-89E4-166BB4B139F2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2" i="1" l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</calcChain>
</file>

<file path=xl/sharedStrings.xml><?xml version="1.0" encoding="utf-8"?>
<sst xmlns="http://schemas.openxmlformats.org/spreadsheetml/2006/main" count="28" uniqueCount="28">
  <si>
    <t>Date</t>
  </si>
  <si>
    <t>HE1</t>
  </si>
  <si>
    <t>HE2</t>
  </si>
  <si>
    <t>HE3</t>
  </si>
  <si>
    <t>HE4</t>
  </si>
  <si>
    <t>HE5</t>
  </si>
  <si>
    <t>HE6</t>
  </si>
  <si>
    <t>HE7</t>
  </si>
  <si>
    <t>HE8</t>
  </si>
  <si>
    <t>HE9</t>
  </si>
  <si>
    <t>HE10</t>
  </si>
  <si>
    <t>HE11</t>
  </si>
  <si>
    <t>HE12</t>
  </si>
  <si>
    <t>HE13</t>
  </si>
  <si>
    <t>HE14</t>
  </si>
  <si>
    <t>HE15</t>
  </si>
  <si>
    <t>HE16</t>
  </si>
  <si>
    <t>HE17</t>
  </si>
  <si>
    <t>HE18</t>
  </si>
  <si>
    <t>HE19</t>
  </si>
  <si>
    <t>HE20</t>
  </si>
  <si>
    <t>HE21</t>
  </si>
  <si>
    <t>HE22</t>
  </si>
  <si>
    <t>HE23</t>
  </si>
  <si>
    <t>HE24</t>
  </si>
  <si>
    <t>*Pricing is based on the CAISO DAM MEADS_2_N101 Total LMP price as available on the 5th business day of the following month</t>
  </si>
  <si>
    <t>**Pricing will be adjusted to reflect the above CAISO DAM pricing or $5.00, whichever is   greater</t>
  </si>
  <si>
    <t>*** Data is represented in Mountain Standard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</si>
</sst>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6">
    <xf numFmtId="0" fontId="0" fillId="0" borderId="0" xfId="0"/>
    <xf numFmtId="14" fontId="0" fillId="0" borderId="0" xfId="0" applyNumberFormat="1"/>
    <xf numFmtId="14" fontId="2" fillId="3" borderId="1" xfId="1" applyNumberFormat="1" applyFont="1" applyFill="1" applyAlignment="1">
      <alignment vertical="center"/>
    </xf>
    <xf numFmtId="0" fontId="0" fillId="3" borderId="0" xfId="0" applyFill="1"/>
    <xf numFmtId="14" fontId="3" fillId="4" borderId="0" xfId="0" applyNumberFormat="1" applyFont="1" applyFill="1"/>
    <xf numFmtId="0" fontId="4" fillId="4" borderId="0" xfId="0" applyFont="1" applyFill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enally\AppData\Local\Microsoft\Windows\INetCache\Content.Outlook\ZYUHX1J4\LMPSummary3.2024.xlsx" TargetMode="External"/><Relationship Id="rId1" Type="http://schemas.openxmlformats.org/officeDocument/2006/relationships/externalLinkPath" Target="/Users/benally/AppData/Local/Microsoft/Windows/INetCache/Content.Outlook/ZYUHX1J4/LMPSummary3.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MP IN PPT"/>
      <sheetName val="LMP IN MST"/>
    </sheetNames>
    <sheetDataSet>
      <sheetData sheetId="0">
        <row r="3">
          <cell r="AB3">
            <v>29.199570000000001</v>
          </cell>
        </row>
        <row r="4">
          <cell r="A4">
            <v>45352</v>
          </cell>
          <cell r="E4">
            <v>28.823239999999998</v>
          </cell>
          <cell r="F4">
            <v>28.500859999999999</v>
          </cell>
          <cell r="G4">
            <v>28.342189999999999</v>
          </cell>
          <cell r="H4">
            <v>28.366409999999998</v>
          </cell>
          <cell r="I4">
            <v>29.372969999999999</v>
          </cell>
          <cell r="J4">
            <v>39.640569999999997</v>
          </cell>
          <cell r="K4">
            <v>38.008710000000001</v>
          </cell>
          <cell r="L4">
            <v>19.42868</v>
          </cell>
          <cell r="M4">
            <v>2.5463499999999999</v>
          </cell>
          <cell r="N4">
            <v>-7.1553300000000002</v>
          </cell>
          <cell r="O4">
            <v>-8.4090299999999996</v>
          </cell>
          <cell r="P4">
            <v>-8.95749</v>
          </cell>
          <cell r="Q4">
            <v>-11.008850000000001</v>
          </cell>
          <cell r="R4">
            <v>-10.910589999999999</v>
          </cell>
          <cell r="S4">
            <v>-10.127750000000001</v>
          </cell>
          <cell r="T4">
            <v>-2.8448799999999999</v>
          </cell>
          <cell r="U4">
            <v>33.855040000000002</v>
          </cell>
          <cell r="V4">
            <v>44.992780000000003</v>
          </cell>
          <cell r="W4">
            <v>46.405920000000002</v>
          </cell>
          <cell r="X4">
            <v>42.61562</v>
          </cell>
          <cell r="Y4">
            <v>42.522410000000001</v>
          </cell>
          <cell r="Z4">
            <v>42.479610000000001</v>
          </cell>
          <cell r="AA4">
            <v>39.197189999999999</v>
          </cell>
          <cell r="AB4">
            <v>37.045920000000002</v>
          </cell>
        </row>
        <row r="5">
          <cell r="A5">
            <v>45353</v>
          </cell>
          <cell r="E5">
            <v>31.88738</v>
          </cell>
          <cell r="F5">
            <v>31.193739999999998</v>
          </cell>
          <cell r="G5">
            <v>31.259930000000001</v>
          </cell>
          <cell r="H5">
            <v>31.194610000000001</v>
          </cell>
          <cell r="I5">
            <v>31.29373</v>
          </cell>
          <cell r="J5">
            <v>32.239339999999999</v>
          </cell>
          <cell r="K5">
            <v>31.74559</v>
          </cell>
          <cell r="L5">
            <v>10.256449999999999</v>
          </cell>
          <cell r="M5">
            <v>1.5740400000000001</v>
          </cell>
          <cell r="N5">
            <v>1.37215</v>
          </cell>
          <cell r="O5">
            <v>0.36534</v>
          </cell>
          <cell r="P5">
            <v>-0.81116999999999995</v>
          </cell>
          <cell r="Q5">
            <v>-4.7201899999999997</v>
          </cell>
          <cell r="R5">
            <v>-7.8696799999999998</v>
          </cell>
          <cell r="S5">
            <v>-7.2118799999999998</v>
          </cell>
          <cell r="T5">
            <v>0.47693999999999998</v>
          </cell>
          <cell r="U5">
            <v>20.151800000000001</v>
          </cell>
          <cell r="V5">
            <v>41.333260000000003</v>
          </cell>
          <cell r="W5">
            <v>43.890799999999999</v>
          </cell>
          <cell r="X5">
            <v>41.4619</v>
          </cell>
          <cell r="Y5">
            <v>41.185899999999997</v>
          </cell>
          <cell r="Z5">
            <v>40.956249999999997</v>
          </cell>
          <cell r="AA5">
            <v>38.114199999999997</v>
          </cell>
          <cell r="AB5">
            <v>36.913440000000001</v>
          </cell>
        </row>
        <row r="6">
          <cell r="A6">
            <v>45354</v>
          </cell>
          <cell r="E6">
            <v>36.947760000000002</v>
          </cell>
          <cell r="F6">
            <v>32.849769999999999</v>
          </cell>
          <cell r="G6">
            <v>33.048549999999999</v>
          </cell>
          <cell r="H6">
            <v>33.159910000000004</v>
          </cell>
          <cell r="I6">
            <v>32.512250000000002</v>
          </cell>
          <cell r="J6">
            <v>32.7532</v>
          </cell>
          <cell r="K6">
            <v>32.197029999999998</v>
          </cell>
          <cell r="L6">
            <v>0.60765999999999998</v>
          </cell>
          <cell r="M6">
            <v>-26.298549999999999</v>
          </cell>
          <cell r="N6">
            <v>-41.120649999999998</v>
          </cell>
          <cell r="O6">
            <v>-42.511369999999999</v>
          </cell>
          <cell r="P6">
            <v>-45.188339999999997</v>
          </cell>
          <cell r="Q6">
            <v>-45.333779999999997</v>
          </cell>
          <cell r="R6">
            <v>-44.088850000000001</v>
          </cell>
          <cell r="S6">
            <v>-45.478610000000003</v>
          </cell>
          <cell r="T6">
            <v>-33.846829999999997</v>
          </cell>
          <cell r="U6">
            <v>1.33772</v>
          </cell>
          <cell r="V6">
            <v>40.68965</v>
          </cell>
          <cell r="W6">
            <v>45.191670000000002</v>
          </cell>
          <cell r="X6">
            <v>41.69115</v>
          </cell>
          <cell r="Y6">
            <v>41.080979999999997</v>
          </cell>
          <cell r="Z6">
            <v>40.90934</v>
          </cell>
          <cell r="AA6">
            <v>40.002549999999999</v>
          </cell>
          <cell r="AB6">
            <v>39.138840000000002</v>
          </cell>
        </row>
        <row r="7">
          <cell r="A7">
            <v>45355</v>
          </cell>
          <cell r="E7">
            <v>38.05142</v>
          </cell>
          <cell r="F7">
            <v>37.485619999999997</v>
          </cell>
          <cell r="G7">
            <v>38.186680000000003</v>
          </cell>
          <cell r="H7">
            <v>38.372489999999999</v>
          </cell>
          <cell r="I7">
            <v>38.293660000000003</v>
          </cell>
          <cell r="J7">
            <v>42.908439999999999</v>
          </cell>
          <cell r="K7">
            <v>43.760080000000002</v>
          </cell>
          <cell r="L7">
            <v>21.461780000000001</v>
          </cell>
          <cell r="M7">
            <v>-14.79956</v>
          </cell>
          <cell r="N7">
            <v>-23.486840000000001</v>
          </cell>
          <cell r="O7">
            <v>-24.752140000000001</v>
          </cell>
          <cell r="P7">
            <v>-24.821549999999998</v>
          </cell>
          <cell r="Q7">
            <v>-24.9604</v>
          </cell>
          <cell r="R7">
            <v>-24.092120000000001</v>
          </cell>
          <cell r="S7">
            <v>-24.02628</v>
          </cell>
          <cell r="T7">
            <v>-15.823320000000001</v>
          </cell>
          <cell r="U7">
            <v>12.95725</v>
          </cell>
          <cell r="V7">
            <v>46.72784</v>
          </cell>
          <cell r="W7">
            <v>55.567680000000003</v>
          </cell>
          <cell r="X7">
            <v>55</v>
          </cell>
          <cell r="Y7">
            <v>52.668810000000001</v>
          </cell>
          <cell r="Z7">
            <v>49.401090000000003</v>
          </cell>
          <cell r="AA7">
            <v>47.885489999999997</v>
          </cell>
          <cell r="AB7">
            <v>45.034599999999998</v>
          </cell>
        </row>
        <row r="8">
          <cell r="A8">
            <v>45356</v>
          </cell>
          <cell r="E8">
            <v>42.557519999999997</v>
          </cell>
          <cell r="F8">
            <v>41.374699999999997</v>
          </cell>
          <cell r="G8">
            <v>41.299100000000003</v>
          </cell>
          <cell r="H8">
            <v>41.37941</v>
          </cell>
          <cell r="I8">
            <v>43.272530000000003</v>
          </cell>
          <cell r="J8">
            <v>52.513730000000002</v>
          </cell>
          <cell r="K8">
            <v>57.604759999999999</v>
          </cell>
          <cell r="L8">
            <v>20.622789999999998</v>
          </cell>
          <cell r="M8">
            <v>-13.606669999999999</v>
          </cell>
          <cell r="N8">
            <v>-20.72092</v>
          </cell>
          <cell r="O8">
            <v>-21.992470000000001</v>
          </cell>
          <cell r="P8">
            <v>-22.629259999999999</v>
          </cell>
          <cell r="Q8">
            <v>-22.69003</v>
          </cell>
          <cell r="R8">
            <v>-22.273309999999999</v>
          </cell>
          <cell r="S8">
            <v>-22.208400000000001</v>
          </cell>
          <cell r="T8">
            <v>-17.804749999999999</v>
          </cell>
          <cell r="U8">
            <v>12.657909999999999</v>
          </cell>
          <cell r="V8">
            <v>55.566110000000002</v>
          </cell>
          <cell r="W8">
            <v>58.419640000000001</v>
          </cell>
          <cell r="X8">
            <v>57.111220000000003</v>
          </cell>
          <cell r="Y8">
            <v>55.717120000000001</v>
          </cell>
          <cell r="Z8">
            <v>55.040709999999997</v>
          </cell>
          <cell r="AA8">
            <v>52.383850000000002</v>
          </cell>
          <cell r="AB8">
            <v>45.476889999999997</v>
          </cell>
        </row>
        <row r="9">
          <cell r="A9">
            <v>45357</v>
          </cell>
          <cell r="E9">
            <v>44.390590000000003</v>
          </cell>
          <cell r="F9">
            <v>41.603760000000001</v>
          </cell>
          <cell r="G9">
            <v>40.880560000000003</v>
          </cell>
          <cell r="H9">
            <v>42.914290000000001</v>
          </cell>
          <cell r="I9">
            <v>47.786320000000003</v>
          </cell>
          <cell r="J9">
            <v>54.977400000000003</v>
          </cell>
          <cell r="K9">
            <v>60.016100000000002</v>
          </cell>
          <cell r="L9">
            <v>32.394979999999997</v>
          </cell>
          <cell r="M9">
            <v>9.76234</v>
          </cell>
          <cell r="N9">
            <v>1.169</v>
          </cell>
          <cell r="O9">
            <v>-0.14663999999999999</v>
          </cell>
          <cell r="P9">
            <v>-1.3086</v>
          </cell>
          <cell r="Q9">
            <v>-1.2392099999999999</v>
          </cell>
          <cell r="R9">
            <v>-2.7673800000000002</v>
          </cell>
          <cell r="S9">
            <v>2.37155</v>
          </cell>
          <cell r="T9">
            <v>17.072120000000002</v>
          </cell>
          <cell r="U9">
            <v>37.581789999999998</v>
          </cell>
          <cell r="V9">
            <v>52.819000000000003</v>
          </cell>
          <cell r="W9">
            <v>53.75271</v>
          </cell>
          <cell r="X9">
            <v>52.897060000000003</v>
          </cell>
          <cell r="Y9">
            <v>52.778660000000002</v>
          </cell>
          <cell r="Z9">
            <v>52.039119999999997</v>
          </cell>
          <cell r="AA9">
            <v>43.879260000000002</v>
          </cell>
          <cell r="AB9">
            <v>41.990279999999998</v>
          </cell>
        </row>
        <row r="10">
          <cell r="A10">
            <v>45358</v>
          </cell>
          <cell r="E10">
            <v>40.641739999999999</v>
          </cell>
          <cell r="F10">
            <v>40.456980000000001</v>
          </cell>
          <cell r="G10">
            <v>38.304560000000002</v>
          </cell>
          <cell r="H10">
            <v>38.015300000000003</v>
          </cell>
          <cell r="I10">
            <v>40.197099999999999</v>
          </cell>
          <cell r="J10">
            <v>42.566940000000002</v>
          </cell>
          <cell r="K10">
            <v>51.456150000000001</v>
          </cell>
          <cell r="L10">
            <v>25.448969999999999</v>
          </cell>
          <cell r="M10">
            <v>-4.7925399999999998</v>
          </cell>
          <cell r="N10">
            <v>-15.50789</v>
          </cell>
          <cell r="O10">
            <v>-20.30922</v>
          </cell>
          <cell r="P10">
            <v>-22.150390000000002</v>
          </cell>
          <cell r="Q10">
            <v>-22.984020000000001</v>
          </cell>
          <cell r="R10">
            <v>-24.85089</v>
          </cell>
          <cell r="S10">
            <v>-23.585629999999998</v>
          </cell>
          <cell r="T10">
            <v>-20.775210000000001</v>
          </cell>
          <cell r="U10">
            <v>2.1238299999999999</v>
          </cell>
          <cell r="V10">
            <v>47.73227</v>
          </cell>
          <cell r="W10">
            <v>48.433920000000001</v>
          </cell>
          <cell r="X10">
            <v>49.066560000000003</v>
          </cell>
          <cell r="Y10">
            <v>48.373249999999999</v>
          </cell>
          <cell r="Z10">
            <v>47.788640000000001</v>
          </cell>
          <cell r="AA10">
            <v>40.43526</v>
          </cell>
          <cell r="AB10">
            <v>36.891269999999999</v>
          </cell>
        </row>
        <row r="11">
          <cell r="A11">
            <v>45359</v>
          </cell>
          <cell r="E11">
            <v>41.905549999999998</v>
          </cell>
          <cell r="F11">
            <v>41.56344</v>
          </cell>
          <cell r="G11">
            <v>40.930129999999998</v>
          </cell>
          <cell r="H11">
            <v>42.286960000000001</v>
          </cell>
          <cell r="I11">
            <v>50.598570000000002</v>
          </cell>
          <cell r="J11">
            <v>57.743879999999997</v>
          </cell>
          <cell r="K11">
            <v>56.841670000000001</v>
          </cell>
          <cell r="L11">
            <v>23.6235</v>
          </cell>
          <cell r="M11">
            <v>-14.49868</v>
          </cell>
          <cell r="N11">
            <v>-26.332450000000001</v>
          </cell>
          <cell r="O11">
            <v>-31.474060000000001</v>
          </cell>
          <cell r="P11">
            <v>-33.50703</v>
          </cell>
          <cell r="Q11">
            <v>-34.173780000000001</v>
          </cell>
          <cell r="R11">
            <v>-33.737929999999999</v>
          </cell>
          <cell r="S11">
            <v>-32.9895</v>
          </cell>
          <cell r="T11">
            <v>-29.228750000000002</v>
          </cell>
          <cell r="U11">
            <v>2.2793199999999998</v>
          </cell>
          <cell r="V11">
            <v>53.730899999999998</v>
          </cell>
          <cell r="W11">
            <v>56.584719999999997</v>
          </cell>
          <cell r="X11">
            <v>53.950099999999999</v>
          </cell>
          <cell r="Y11">
            <v>53.806739999999998</v>
          </cell>
          <cell r="Z11">
            <v>53.171909999999997</v>
          </cell>
          <cell r="AA11">
            <v>52.907629999999997</v>
          </cell>
          <cell r="AB11">
            <v>46.939410000000002</v>
          </cell>
        </row>
        <row r="12">
          <cell r="A12">
            <v>45360</v>
          </cell>
          <cell r="E12">
            <v>41.855429999999998</v>
          </cell>
          <cell r="F12">
            <v>40.31671</v>
          </cell>
          <cell r="G12">
            <v>39.979669999999999</v>
          </cell>
          <cell r="H12">
            <v>37.814920000000001</v>
          </cell>
          <cell r="I12">
            <v>39.631549999999997</v>
          </cell>
          <cell r="J12">
            <v>44.294849999999997</v>
          </cell>
          <cell r="K12">
            <v>47.29974</v>
          </cell>
          <cell r="L12">
            <v>16.245450000000002</v>
          </cell>
          <cell r="M12">
            <v>-14.714270000000001</v>
          </cell>
          <cell r="N12">
            <v>-23.1492</v>
          </cell>
          <cell r="O12">
            <v>-27.649609999999999</v>
          </cell>
          <cell r="P12">
            <v>-27.57816</v>
          </cell>
          <cell r="Q12">
            <v>-28.311499999999999</v>
          </cell>
          <cell r="R12">
            <v>-28.148910000000001</v>
          </cell>
          <cell r="S12">
            <v>-28.353000000000002</v>
          </cell>
          <cell r="T12">
            <v>-19.5428</v>
          </cell>
          <cell r="U12">
            <v>16.0641</v>
          </cell>
          <cell r="V12">
            <v>46.289200000000001</v>
          </cell>
          <cell r="W12">
            <v>46.985109999999999</v>
          </cell>
          <cell r="X12">
            <v>46.931939999999997</v>
          </cell>
          <cell r="Y12">
            <v>46.146999999999998</v>
          </cell>
          <cell r="Z12">
            <v>45.742669999999997</v>
          </cell>
          <cell r="AA12">
            <v>42.057099999999998</v>
          </cell>
          <cell r="AB12">
            <v>39.594819999999999</v>
          </cell>
        </row>
        <row r="13">
          <cell r="A13">
            <v>45361</v>
          </cell>
          <cell r="E13">
            <v>46.208440000000003</v>
          </cell>
          <cell r="F13">
            <v>45.75582</v>
          </cell>
          <cell r="G13">
            <v>45.75582</v>
          </cell>
          <cell r="H13">
            <v>41.749639999999999</v>
          </cell>
          <cell r="I13">
            <v>41.347949999999997</v>
          </cell>
          <cell r="J13">
            <v>39.299799999999998</v>
          </cell>
          <cell r="K13">
            <v>43.935200000000002</v>
          </cell>
          <cell r="L13">
            <v>42.239460000000001</v>
          </cell>
          <cell r="M13">
            <v>9.3496299999999994</v>
          </cell>
          <cell r="N13">
            <v>-11.1899</v>
          </cell>
          <cell r="O13">
            <v>-16.431280000000001</v>
          </cell>
          <cell r="P13">
            <v>-19.107849999999999</v>
          </cell>
          <cell r="Q13">
            <v>-19.386430000000001</v>
          </cell>
          <cell r="R13">
            <v>-18.129950000000001</v>
          </cell>
          <cell r="S13">
            <v>-17.480889999999999</v>
          </cell>
          <cell r="T13">
            <v>-15.579330000000001</v>
          </cell>
          <cell r="U13">
            <v>-2.6299800000000002</v>
          </cell>
          <cell r="V13">
            <v>18.726410000000001</v>
          </cell>
          <cell r="W13">
            <v>42.328029999999998</v>
          </cell>
          <cell r="X13">
            <v>45.344769999999997</v>
          </cell>
          <cell r="Y13">
            <v>45.291130000000003</v>
          </cell>
          <cell r="Z13">
            <v>43.015439999999998</v>
          </cell>
          <cell r="AA13">
            <v>42.218730000000001</v>
          </cell>
          <cell r="AB13">
            <v>41.641919999999999</v>
          </cell>
        </row>
        <row r="14">
          <cell r="A14">
            <v>45362</v>
          </cell>
          <cell r="E14">
            <v>33.66883</v>
          </cell>
          <cell r="F14">
            <v>32.979469999999999</v>
          </cell>
          <cell r="G14">
            <v>31.03651</v>
          </cell>
          <cell r="H14">
            <v>30.52891</v>
          </cell>
          <cell r="I14">
            <v>31.01605</v>
          </cell>
          <cell r="J14">
            <v>35.57</v>
          </cell>
          <cell r="K14">
            <v>52.835470000000001</v>
          </cell>
          <cell r="L14">
            <v>54.89114</v>
          </cell>
          <cell r="M14">
            <v>21.554020000000001</v>
          </cell>
          <cell r="N14">
            <v>-4.6182999999999996</v>
          </cell>
          <cell r="O14">
            <v>-16.617619999999999</v>
          </cell>
          <cell r="P14">
            <v>-24.069469999999999</v>
          </cell>
          <cell r="Q14">
            <v>-24.75104</v>
          </cell>
          <cell r="R14">
            <v>-28.6662</v>
          </cell>
          <cell r="S14">
            <v>-29.32751</v>
          </cell>
          <cell r="T14">
            <v>-27.97148</v>
          </cell>
          <cell r="U14">
            <v>-21.136659999999999</v>
          </cell>
          <cell r="V14">
            <v>6.0555599999999998</v>
          </cell>
          <cell r="W14">
            <v>42.547249999999998</v>
          </cell>
          <cell r="X14">
            <v>46.526519999999998</v>
          </cell>
          <cell r="Y14">
            <v>44.727400000000003</v>
          </cell>
          <cell r="Z14">
            <v>43.331569999999999</v>
          </cell>
          <cell r="AA14">
            <v>40.083449999999999</v>
          </cell>
          <cell r="AB14">
            <v>37.11694</v>
          </cell>
        </row>
        <row r="15">
          <cell r="A15">
            <v>45363</v>
          </cell>
          <cell r="E15">
            <v>27.08043</v>
          </cell>
          <cell r="F15">
            <v>27.45879</v>
          </cell>
          <cell r="G15">
            <v>27.125309999999999</v>
          </cell>
          <cell r="H15">
            <v>27.077069999999999</v>
          </cell>
          <cell r="I15">
            <v>28.176860000000001</v>
          </cell>
          <cell r="J15">
            <v>31.32996</v>
          </cell>
          <cell r="K15">
            <v>41.690130000000003</v>
          </cell>
          <cell r="L15">
            <v>41.654600000000002</v>
          </cell>
          <cell r="M15">
            <v>14.872109999999999</v>
          </cell>
          <cell r="N15">
            <v>0.88880000000000003</v>
          </cell>
          <cell r="O15">
            <v>-6.5972600000000003</v>
          </cell>
          <cell r="P15">
            <v>-10.35169</v>
          </cell>
          <cell r="Q15">
            <v>-11.5306</v>
          </cell>
          <cell r="R15">
            <v>-14.38251</v>
          </cell>
          <cell r="S15">
            <v>-15.570919999999999</v>
          </cell>
          <cell r="T15">
            <v>-17.02413</v>
          </cell>
          <cell r="U15">
            <v>-8.3598499999999998</v>
          </cell>
          <cell r="V15">
            <v>11.074400000000001</v>
          </cell>
          <cell r="W15">
            <v>40.502249999999997</v>
          </cell>
          <cell r="X15">
            <v>45.620040000000003</v>
          </cell>
          <cell r="Y15">
            <v>45.148670000000003</v>
          </cell>
          <cell r="Z15">
            <v>42.060400000000001</v>
          </cell>
          <cell r="AA15">
            <v>34.784089999999999</v>
          </cell>
          <cell r="AB15">
            <v>29.43084</v>
          </cell>
        </row>
        <row r="16">
          <cell r="A16">
            <v>45364</v>
          </cell>
          <cell r="E16">
            <v>27.974150000000002</v>
          </cell>
          <cell r="F16">
            <v>25.371009999999998</v>
          </cell>
          <cell r="G16">
            <v>26.581990000000001</v>
          </cell>
          <cell r="H16">
            <v>26.536770000000001</v>
          </cell>
          <cell r="I16">
            <v>28.165389999999999</v>
          </cell>
          <cell r="J16">
            <v>36.709400000000002</v>
          </cell>
          <cell r="K16">
            <v>43.137799999999999</v>
          </cell>
          <cell r="L16">
            <v>44.385689999999997</v>
          </cell>
          <cell r="M16">
            <v>18.799479999999999</v>
          </cell>
          <cell r="N16">
            <v>-10.30298</v>
          </cell>
          <cell r="O16">
            <v>-23.274940000000001</v>
          </cell>
          <cell r="P16">
            <v>-26.0809</v>
          </cell>
          <cell r="Q16">
            <v>-28.484100000000002</v>
          </cell>
          <cell r="R16">
            <v>-27.950610000000001</v>
          </cell>
          <cell r="S16">
            <v>-27.502939999999999</v>
          </cell>
          <cell r="T16">
            <v>-26.055969999999999</v>
          </cell>
          <cell r="U16">
            <v>-23.976710000000001</v>
          </cell>
          <cell r="V16">
            <v>8.8680900000000005</v>
          </cell>
          <cell r="W16">
            <v>39.611559999999997</v>
          </cell>
          <cell r="X16">
            <v>42.998220000000003</v>
          </cell>
          <cell r="Y16">
            <v>42.806600000000003</v>
          </cell>
          <cell r="Z16">
            <v>39.568890000000003</v>
          </cell>
          <cell r="AA16">
            <v>39.132289999999998</v>
          </cell>
          <cell r="AB16">
            <v>38.264150000000001</v>
          </cell>
        </row>
        <row r="17">
          <cell r="A17">
            <v>45365</v>
          </cell>
          <cell r="E17">
            <v>39.539729999999999</v>
          </cell>
          <cell r="F17">
            <v>39.548909999999999</v>
          </cell>
          <cell r="G17">
            <v>33.013770000000001</v>
          </cell>
          <cell r="H17">
            <v>39.203400000000002</v>
          </cell>
          <cell r="I17">
            <v>37.790030000000002</v>
          </cell>
          <cell r="J17">
            <v>40.161000000000001</v>
          </cell>
          <cell r="K17">
            <v>49.365830000000003</v>
          </cell>
          <cell r="L17">
            <v>46.792769999999997</v>
          </cell>
          <cell r="M17">
            <v>23.45185</v>
          </cell>
          <cell r="N17">
            <v>-7.54338</v>
          </cell>
          <cell r="O17">
            <v>-18.7211</v>
          </cell>
          <cell r="P17">
            <v>-21.730920000000001</v>
          </cell>
          <cell r="Q17">
            <v>-23.07516</v>
          </cell>
          <cell r="R17">
            <v>-23.695319999999999</v>
          </cell>
          <cell r="S17">
            <v>-22.072089999999999</v>
          </cell>
          <cell r="T17">
            <v>-20.978000000000002</v>
          </cell>
          <cell r="U17">
            <v>-13.18281</v>
          </cell>
          <cell r="V17">
            <v>13.455209999999999</v>
          </cell>
          <cell r="W17">
            <v>40.770000000000003</v>
          </cell>
          <cell r="X17">
            <v>46.616759999999999</v>
          </cell>
          <cell r="Y17">
            <v>44.177219999999998</v>
          </cell>
          <cell r="Z17">
            <v>43.012990000000002</v>
          </cell>
          <cell r="AA17">
            <v>39.780889999999999</v>
          </cell>
          <cell r="AB17">
            <v>37.775849999999998</v>
          </cell>
        </row>
        <row r="18">
          <cell r="A18">
            <v>45366</v>
          </cell>
          <cell r="E18">
            <v>31.739930000000001</v>
          </cell>
          <cell r="F18">
            <v>30.842020000000002</v>
          </cell>
          <cell r="G18">
            <v>31.569659999999999</v>
          </cell>
          <cell r="H18">
            <v>30.469709999999999</v>
          </cell>
          <cell r="I18">
            <v>30.61591</v>
          </cell>
          <cell r="J18">
            <v>36.061590000000002</v>
          </cell>
          <cell r="K18">
            <v>49.557479999999998</v>
          </cell>
          <cell r="L18">
            <v>50.465809999999998</v>
          </cell>
          <cell r="M18">
            <v>36.576239999999999</v>
          </cell>
          <cell r="N18">
            <v>19.651319999999998</v>
          </cell>
          <cell r="O18">
            <v>7.8934499999999996</v>
          </cell>
          <cell r="P18">
            <v>2.5760299999999998</v>
          </cell>
          <cell r="Q18">
            <v>0.95916999999999997</v>
          </cell>
          <cell r="R18">
            <v>1.85622</v>
          </cell>
          <cell r="S18">
            <v>4.3508300000000002</v>
          </cell>
          <cell r="T18">
            <v>8.7768200000000007</v>
          </cell>
          <cell r="U18">
            <v>13.97161</v>
          </cell>
          <cell r="V18">
            <v>34.882730000000002</v>
          </cell>
          <cell r="W18">
            <v>47.379950000000001</v>
          </cell>
          <cell r="X18">
            <v>48.746290000000002</v>
          </cell>
          <cell r="Y18">
            <v>48.272350000000003</v>
          </cell>
          <cell r="Z18">
            <v>47.035769999999999</v>
          </cell>
          <cell r="AA18">
            <v>46.233220000000003</v>
          </cell>
          <cell r="AB18">
            <v>40.271659999999997</v>
          </cell>
        </row>
        <row r="19">
          <cell r="A19">
            <v>45367</v>
          </cell>
          <cell r="E19">
            <v>48.270539999999997</v>
          </cell>
          <cell r="F19">
            <v>45.004269999999998</v>
          </cell>
          <cell r="G19">
            <v>41.314729999999997</v>
          </cell>
          <cell r="H19">
            <v>41.728659999999998</v>
          </cell>
          <cell r="I19">
            <v>40.023479999999999</v>
          </cell>
          <cell r="J19">
            <v>47.727910000000001</v>
          </cell>
          <cell r="K19">
            <v>50.006</v>
          </cell>
          <cell r="L19">
            <v>48.251910000000002</v>
          </cell>
          <cell r="M19">
            <v>29.058710000000001</v>
          </cell>
          <cell r="N19">
            <v>15.705819999999999</v>
          </cell>
          <cell r="O19">
            <v>-6.7836800000000004</v>
          </cell>
          <cell r="P19">
            <v>-9.9380900000000008</v>
          </cell>
          <cell r="Q19">
            <v>-10.734579999999999</v>
          </cell>
          <cell r="R19">
            <v>-10.61835</v>
          </cell>
          <cell r="S19">
            <v>-12.26674</v>
          </cell>
          <cell r="T19">
            <v>-7.5594299999999999</v>
          </cell>
          <cell r="U19">
            <v>0.47570000000000001</v>
          </cell>
          <cell r="V19">
            <v>29.405650000000001</v>
          </cell>
          <cell r="W19">
            <v>45.17062</v>
          </cell>
          <cell r="X19">
            <v>46.571289999999998</v>
          </cell>
          <cell r="Y19">
            <v>46.672870000000003</v>
          </cell>
          <cell r="Z19">
            <v>46.640320000000003</v>
          </cell>
          <cell r="AA19">
            <v>42.369340000000001</v>
          </cell>
          <cell r="AB19">
            <v>38.027419999999999</v>
          </cell>
        </row>
        <row r="20">
          <cell r="A20">
            <v>45368</v>
          </cell>
          <cell r="E20">
            <v>33.709879999999998</v>
          </cell>
          <cell r="F20">
            <v>32.865690000000001</v>
          </cell>
          <cell r="G20">
            <v>32.871859999999998</v>
          </cell>
          <cell r="H20">
            <v>32.825270000000003</v>
          </cell>
          <cell r="I20">
            <v>32.76437</v>
          </cell>
          <cell r="J20">
            <v>33.694569999999999</v>
          </cell>
          <cell r="K20">
            <v>34.856769999999997</v>
          </cell>
          <cell r="L20">
            <v>31.91376</v>
          </cell>
          <cell r="M20">
            <v>8.0136800000000008</v>
          </cell>
          <cell r="N20">
            <v>-14.15776</v>
          </cell>
          <cell r="O20">
            <v>-32.864049999999999</v>
          </cell>
          <cell r="P20">
            <v>-36.649059999999999</v>
          </cell>
          <cell r="Q20">
            <v>-37.435130000000001</v>
          </cell>
          <cell r="R20">
            <v>-37.583820000000003</v>
          </cell>
          <cell r="S20">
            <v>-37.464750000000002</v>
          </cell>
          <cell r="T20">
            <v>-30.71321</v>
          </cell>
          <cell r="U20">
            <v>-11.288790000000001</v>
          </cell>
          <cell r="V20">
            <v>21.783539999999999</v>
          </cell>
          <cell r="W20">
            <v>41.69567</v>
          </cell>
          <cell r="X20">
            <v>47.403680000000001</v>
          </cell>
          <cell r="Y20">
            <v>46.324950000000001</v>
          </cell>
          <cell r="Z20">
            <v>46.978270000000002</v>
          </cell>
          <cell r="AA20">
            <v>42.286920000000002</v>
          </cell>
          <cell r="AB20">
            <v>41.695430000000002</v>
          </cell>
        </row>
        <row r="21">
          <cell r="A21">
            <v>45369</v>
          </cell>
          <cell r="E21">
            <v>39.767890000000001</v>
          </cell>
          <cell r="F21">
            <v>37.717350000000003</v>
          </cell>
          <cell r="G21">
            <v>37.876449999999998</v>
          </cell>
          <cell r="H21">
            <v>37.369549999999997</v>
          </cell>
          <cell r="I21">
            <v>42.492629999999998</v>
          </cell>
          <cell r="J21">
            <v>48.342399999999998</v>
          </cell>
          <cell r="K21">
            <v>54.962440000000001</v>
          </cell>
          <cell r="L21">
            <v>53.14217</v>
          </cell>
          <cell r="M21">
            <v>33.632330000000003</v>
          </cell>
          <cell r="N21">
            <v>3.0216099999999999</v>
          </cell>
          <cell r="O21">
            <v>-0.97711000000000003</v>
          </cell>
          <cell r="P21">
            <v>-5.6464400000000001</v>
          </cell>
          <cell r="Q21">
            <v>-5.8240499999999997</v>
          </cell>
          <cell r="R21">
            <v>-4.6534899999999997</v>
          </cell>
          <cell r="S21">
            <v>-4.8567600000000004</v>
          </cell>
          <cell r="T21">
            <v>0.23691000000000001</v>
          </cell>
          <cell r="U21">
            <v>9.4945599999999999</v>
          </cell>
          <cell r="V21">
            <v>35.421289999999999</v>
          </cell>
          <cell r="W21">
            <v>52.695390000000003</v>
          </cell>
          <cell r="X21">
            <v>64.453900000000004</v>
          </cell>
          <cell r="Y21">
            <v>54.971449999999997</v>
          </cell>
          <cell r="Z21">
            <v>52.090580000000003</v>
          </cell>
          <cell r="AA21">
            <v>49.359630000000003</v>
          </cell>
          <cell r="AB21">
            <v>38.67906</v>
          </cell>
        </row>
        <row r="22">
          <cell r="A22">
            <v>45370</v>
          </cell>
          <cell r="E22">
            <v>34.3371</v>
          </cell>
          <cell r="F22">
            <v>31.591560000000001</v>
          </cell>
          <cell r="G22">
            <v>30.614059999999998</v>
          </cell>
          <cell r="H22">
            <v>30.540320000000001</v>
          </cell>
          <cell r="I22">
            <v>31.730650000000001</v>
          </cell>
          <cell r="J22">
            <v>39.610320000000002</v>
          </cell>
          <cell r="K22">
            <v>47.504309999999997</v>
          </cell>
          <cell r="L22">
            <v>41.659109999999998</v>
          </cell>
          <cell r="M22">
            <v>25</v>
          </cell>
          <cell r="N22">
            <v>1.2651300000000001</v>
          </cell>
          <cell r="O22">
            <v>-5.9828799999999998</v>
          </cell>
          <cell r="P22">
            <v>-9.5891199999999994</v>
          </cell>
          <cell r="Q22">
            <v>-11.544750000000001</v>
          </cell>
          <cell r="R22">
            <v>-11.99522</v>
          </cell>
          <cell r="S22">
            <v>-11.73845</v>
          </cell>
          <cell r="T22">
            <v>-11.087770000000001</v>
          </cell>
          <cell r="U22">
            <v>-1.8092699999999999</v>
          </cell>
          <cell r="V22">
            <v>23.000979999999998</v>
          </cell>
          <cell r="W22">
            <v>40.601550000000003</v>
          </cell>
          <cell r="X22">
            <v>49.507919999999999</v>
          </cell>
          <cell r="Y22">
            <v>45.463659999999997</v>
          </cell>
          <cell r="Z22">
            <v>40.797420000000002</v>
          </cell>
          <cell r="AA22">
            <v>37.100650000000002</v>
          </cell>
          <cell r="AB22">
            <v>30.380949999999999</v>
          </cell>
        </row>
        <row r="23">
          <cell r="A23">
            <v>45371</v>
          </cell>
          <cell r="E23">
            <v>29.38963</v>
          </cell>
          <cell r="F23">
            <v>28.929490000000001</v>
          </cell>
          <cell r="G23">
            <v>28.455690000000001</v>
          </cell>
          <cell r="H23">
            <v>28.186610000000002</v>
          </cell>
          <cell r="I23">
            <v>28.95317</v>
          </cell>
          <cell r="J23">
            <v>33.234789999999997</v>
          </cell>
          <cell r="K23">
            <v>41.307929999999999</v>
          </cell>
          <cell r="L23">
            <v>36.547849999999997</v>
          </cell>
          <cell r="M23">
            <v>3.73963</v>
          </cell>
          <cell r="N23">
            <v>-14.1419</v>
          </cell>
          <cell r="O23">
            <v>-22.822710000000001</v>
          </cell>
          <cell r="P23">
            <v>-27.21987</v>
          </cell>
          <cell r="Q23">
            <v>-28.12567</v>
          </cell>
          <cell r="R23">
            <v>-28.7606</v>
          </cell>
          <cell r="S23">
            <v>-24.347380000000001</v>
          </cell>
          <cell r="T23">
            <v>-24.423220000000001</v>
          </cell>
          <cell r="U23">
            <v>-15.63903</v>
          </cell>
          <cell r="V23">
            <v>8.7050900000000002</v>
          </cell>
          <cell r="W23">
            <v>35.068339999999999</v>
          </cell>
          <cell r="X23">
            <v>42.520449999999997</v>
          </cell>
          <cell r="Y23">
            <v>37.503689999999999</v>
          </cell>
          <cell r="Z23">
            <v>37.461539999999999</v>
          </cell>
          <cell r="AA23">
            <v>34.372120000000002</v>
          </cell>
          <cell r="AB23">
            <v>31.28078</v>
          </cell>
        </row>
        <row r="24">
          <cell r="A24">
            <v>45372</v>
          </cell>
          <cell r="E24">
            <v>25.305330000000001</v>
          </cell>
          <cell r="F24">
            <v>25.117100000000001</v>
          </cell>
          <cell r="G24">
            <v>25.070029999999999</v>
          </cell>
          <cell r="H24">
            <v>25.009620000000002</v>
          </cell>
          <cell r="I24">
            <v>28.70176</v>
          </cell>
          <cell r="J24">
            <v>35.1768</v>
          </cell>
          <cell r="K24">
            <v>46.192929999999997</v>
          </cell>
          <cell r="L24">
            <v>39.441389999999998</v>
          </cell>
          <cell r="M24">
            <v>1.30348</v>
          </cell>
          <cell r="N24">
            <v>-22.360410000000002</v>
          </cell>
          <cell r="O24">
            <v>-27.920829999999999</v>
          </cell>
          <cell r="P24">
            <v>-30.92022</v>
          </cell>
          <cell r="Q24">
            <v>-31.551649999999999</v>
          </cell>
          <cell r="R24">
            <v>-35.825479999999999</v>
          </cell>
          <cell r="S24">
            <v>-36.080719999999999</v>
          </cell>
          <cell r="T24">
            <v>-35.253160000000001</v>
          </cell>
          <cell r="U24">
            <v>-24.191939999999999</v>
          </cell>
          <cell r="V24">
            <v>6.7311899999999998</v>
          </cell>
          <cell r="W24">
            <v>34.512369999999997</v>
          </cell>
          <cell r="X24">
            <v>44.056820000000002</v>
          </cell>
          <cell r="Y24">
            <v>40.41778</v>
          </cell>
          <cell r="Z24">
            <v>39.571339999999999</v>
          </cell>
          <cell r="AA24">
            <v>33.360680000000002</v>
          </cell>
          <cell r="AB24">
            <v>32.106859999999998</v>
          </cell>
        </row>
        <row r="25">
          <cell r="A25">
            <v>45373</v>
          </cell>
          <cell r="E25">
            <v>36.472230000000003</v>
          </cell>
          <cell r="F25">
            <v>30.52111</v>
          </cell>
          <cell r="G25">
            <v>29.738420000000001</v>
          </cell>
          <cell r="H25">
            <v>29.907640000000001</v>
          </cell>
          <cell r="I25">
            <v>34.353630000000003</v>
          </cell>
          <cell r="J25">
            <v>46.707940000000001</v>
          </cell>
          <cell r="K25">
            <v>48.262300000000003</v>
          </cell>
          <cell r="L25">
            <v>47.645339999999997</v>
          </cell>
          <cell r="M25">
            <v>19.573640000000001</v>
          </cell>
          <cell r="N25">
            <v>4.3405699999999996</v>
          </cell>
          <cell r="O25">
            <v>-1.8572200000000001</v>
          </cell>
          <cell r="P25">
            <v>-5.8145199999999999</v>
          </cell>
          <cell r="Q25">
            <v>-11.853210000000001</v>
          </cell>
          <cell r="R25">
            <v>-13.34198</v>
          </cell>
          <cell r="S25">
            <v>-12.69514</v>
          </cell>
          <cell r="T25">
            <v>-10.1599</v>
          </cell>
          <cell r="U25">
            <v>1.7939099999999999</v>
          </cell>
          <cell r="V25">
            <v>27.77984</v>
          </cell>
          <cell r="W25">
            <v>39.152160000000002</v>
          </cell>
          <cell r="X25">
            <v>40.370060000000002</v>
          </cell>
          <cell r="Y25">
            <v>38.936520000000002</v>
          </cell>
          <cell r="Z25">
            <v>39.000700000000002</v>
          </cell>
          <cell r="AA25">
            <v>37.722760000000001</v>
          </cell>
          <cell r="AB25">
            <v>37.55518</v>
          </cell>
        </row>
        <row r="26">
          <cell r="A26">
            <v>45374</v>
          </cell>
          <cell r="E26">
            <v>28.107669999999999</v>
          </cell>
          <cell r="F26">
            <v>28.179860000000001</v>
          </cell>
          <cell r="G26">
            <v>27.970790000000001</v>
          </cell>
          <cell r="H26">
            <v>27.360980000000001</v>
          </cell>
          <cell r="I26">
            <v>28.062360000000002</v>
          </cell>
          <cell r="J26">
            <v>28.219639999999998</v>
          </cell>
          <cell r="K26">
            <v>32.67483</v>
          </cell>
          <cell r="L26">
            <v>32.37764</v>
          </cell>
          <cell r="M26">
            <v>27.976859999999999</v>
          </cell>
          <cell r="N26">
            <v>21.40118</v>
          </cell>
          <cell r="O26">
            <v>10.10186</v>
          </cell>
          <cell r="P26">
            <v>1.22312</v>
          </cell>
          <cell r="Q26">
            <v>-9.6674699999999998</v>
          </cell>
          <cell r="R26">
            <v>-13.86528</v>
          </cell>
          <cell r="S26">
            <v>-11.81245</v>
          </cell>
          <cell r="T26">
            <v>-10.677569999999999</v>
          </cell>
          <cell r="U26">
            <v>-5.7767400000000002</v>
          </cell>
          <cell r="V26">
            <v>9.8921899999999994</v>
          </cell>
          <cell r="W26">
            <v>28.407430000000002</v>
          </cell>
          <cell r="X26">
            <v>29.001439999999999</v>
          </cell>
          <cell r="Y26">
            <v>28.608789999999999</v>
          </cell>
          <cell r="Z26">
            <v>28.52139</v>
          </cell>
          <cell r="AA26">
            <v>28.029399999999999</v>
          </cell>
          <cell r="AB26">
            <v>25.892769999999999</v>
          </cell>
        </row>
        <row r="27">
          <cell r="A27">
            <v>45375</v>
          </cell>
          <cell r="E27">
            <v>25.46651</v>
          </cell>
          <cell r="F27">
            <v>24.950579999999999</v>
          </cell>
          <cell r="G27">
            <v>23.352170000000001</v>
          </cell>
          <cell r="H27">
            <v>20.91395</v>
          </cell>
          <cell r="I27">
            <v>22.617000000000001</v>
          </cell>
          <cell r="J27">
            <v>23.633780000000002</v>
          </cell>
          <cell r="K27">
            <v>27.649550000000001</v>
          </cell>
          <cell r="L27">
            <v>20.895029999999998</v>
          </cell>
          <cell r="M27">
            <v>0.51509000000000005</v>
          </cell>
          <cell r="N27">
            <v>-11.22143</v>
          </cell>
          <cell r="O27">
            <v>-18.88598</v>
          </cell>
          <cell r="P27">
            <v>-22.1828</v>
          </cell>
          <cell r="Q27">
            <v>-22.87781</v>
          </cell>
          <cell r="R27">
            <v>-26.475169999999999</v>
          </cell>
          <cell r="S27">
            <v>-28.528079999999999</v>
          </cell>
          <cell r="T27">
            <v>-23.701889999999999</v>
          </cell>
          <cell r="U27">
            <v>-12.45595</v>
          </cell>
          <cell r="V27">
            <v>5.43269</v>
          </cell>
          <cell r="W27">
            <v>28.293030000000002</v>
          </cell>
          <cell r="X27">
            <v>29.62566</v>
          </cell>
          <cell r="Y27">
            <v>29.636189999999999</v>
          </cell>
          <cell r="Z27">
            <v>28.856929999999998</v>
          </cell>
          <cell r="AA27">
            <v>28.203569999999999</v>
          </cell>
          <cell r="AB27">
            <v>25.12819</v>
          </cell>
        </row>
        <row r="28">
          <cell r="A28">
            <v>45376</v>
          </cell>
          <cell r="E28">
            <v>26.857800000000001</v>
          </cell>
          <cell r="F28">
            <v>24.785219999999999</v>
          </cell>
          <cell r="G28">
            <v>24.436050000000002</v>
          </cell>
          <cell r="H28">
            <v>24.857659999999999</v>
          </cell>
          <cell r="I28">
            <v>26.922709999999999</v>
          </cell>
          <cell r="J28">
            <v>30.614249999999998</v>
          </cell>
          <cell r="K28">
            <v>50.326000000000001</v>
          </cell>
          <cell r="L28">
            <v>36.005830000000003</v>
          </cell>
          <cell r="M28">
            <v>2.7606099999999998</v>
          </cell>
          <cell r="N28">
            <v>-19.676570000000002</v>
          </cell>
          <cell r="O28">
            <v>-27.486979999999999</v>
          </cell>
          <cell r="P28">
            <v>-30.824590000000001</v>
          </cell>
          <cell r="Q28">
            <v>-32.97381</v>
          </cell>
          <cell r="R28">
            <v>-35.718980000000002</v>
          </cell>
          <cell r="S28">
            <v>-35.63064</v>
          </cell>
          <cell r="T28">
            <v>-33.113810000000001</v>
          </cell>
          <cell r="U28">
            <v>-18.494119999999999</v>
          </cell>
          <cell r="V28">
            <v>8.0983199999999993</v>
          </cell>
          <cell r="W28">
            <v>32.018099999999997</v>
          </cell>
          <cell r="X28">
            <v>37.386159999999997</v>
          </cell>
          <cell r="Y28">
            <v>37.593960000000003</v>
          </cell>
          <cell r="Z28">
            <v>33.54195</v>
          </cell>
          <cell r="AA28">
            <v>31.588100000000001</v>
          </cell>
          <cell r="AB28">
            <v>28.660699999999999</v>
          </cell>
        </row>
        <row r="29">
          <cell r="A29">
            <v>45377</v>
          </cell>
          <cell r="E29">
            <v>28.72655</v>
          </cell>
          <cell r="F29">
            <v>25.281739999999999</v>
          </cell>
          <cell r="G29">
            <v>22.657810000000001</v>
          </cell>
          <cell r="H29">
            <v>22.811540000000001</v>
          </cell>
          <cell r="I29">
            <v>24.30782</v>
          </cell>
          <cell r="J29">
            <v>29.955210000000001</v>
          </cell>
          <cell r="K29">
            <v>37.771250000000002</v>
          </cell>
          <cell r="L29">
            <v>31.743020000000001</v>
          </cell>
          <cell r="M29">
            <v>-6.1465399999999999</v>
          </cell>
          <cell r="N29">
            <v>-35.116129999999998</v>
          </cell>
          <cell r="O29">
            <v>-38.674619999999997</v>
          </cell>
          <cell r="P29">
            <v>-40.313220000000001</v>
          </cell>
          <cell r="Q29">
            <v>-41.84225</v>
          </cell>
          <cell r="R29">
            <v>-41.336109999999998</v>
          </cell>
          <cell r="S29">
            <v>-41.286479999999997</v>
          </cell>
          <cell r="T29">
            <v>-40.430239999999998</v>
          </cell>
          <cell r="U29">
            <v>-37.669289999999997</v>
          </cell>
          <cell r="V29">
            <v>-12.517939999999999</v>
          </cell>
          <cell r="W29">
            <v>31.873380000000001</v>
          </cell>
          <cell r="X29">
            <v>35.537570000000002</v>
          </cell>
          <cell r="Y29">
            <v>36.050600000000003</v>
          </cell>
          <cell r="Z29">
            <v>35.519660000000002</v>
          </cell>
          <cell r="AA29">
            <v>32.208599999999997</v>
          </cell>
          <cell r="AB29">
            <v>31.646229999999999</v>
          </cell>
        </row>
        <row r="30">
          <cell r="A30">
            <v>45378</v>
          </cell>
          <cell r="E30">
            <v>29.565190000000001</v>
          </cell>
          <cell r="F30">
            <v>29.36805</v>
          </cell>
          <cell r="G30">
            <v>29.4361</v>
          </cell>
          <cell r="H30">
            <v>29.707039999999999</v>
          </cell>
          <cell r="I30">
            <v>32.80686</v>
          </cell>
          <cell r="J30">
            <v>45.338970000000003</v>
          </cell>
          <cell r="K30">
            <v>49.53172</v>
          </cell>
          <cell r="L30">
            <v>46.881180000000001</v>
          </cell>
          <cell r="M30">
            <v>22.526399999999999</v>
          </cell>
          <cell r="N30">
            <v>-8.1641100000000009</v>
          </cell>
          <cell r="O30">
            <v>-14.1387</v>
          </cell>
          <cell r="P30">
            <v>-18.36853</v>
          </cell>
          <cell r="Q30">
            <v>-19.791180000000001</v>
          </cell>
          <cell r="R30">
            <v>-20.48649</v>
          </cell>
          <cell r="S30">
            <v>-19.7561</v>
          </cell>
          <cell r="T30">
            <v>-18.823519999999998</v>
          </cell>
          <cell r="U30">
            <v>-12.311859999999999</v>
          </cell>
          <cell r="V30">
            <v>14.70575</v>
          </cell>
          <cell r="W30">
            <v>44.865299999999998</v>
          </cell>
          <cell r="X30">
            <v>46.096510000000002</v>
          </cell>
          <cell r="Y30">
            <v>44.76502</v>
          </cell>
          <cell r="Z30">
            <v>44.286760000000001</v>
          </cell>
          <cell r="AA30">
            <v>43.47</v>
          </cell>
          <cell r="AB30">
            <v>39.415979999999998</v>
          </cell>
        </row>
        <row r="31">
          <cell r="A31">
            <v>45379</v>
          </cell>
          <cell r="E31">
            <v>29.679269999999999</v>
          </cell>
          <cell r="F31">
            <v>25.499469999999999</v>
          </cell>
          <cell r="G31">
            <v>24.484780000000001</v>
          </cell>
          <cell r="H31">
            <v>25.525130000000001</v>
          </cell>
          <cell r="I31">
            <v>25.94519</v>
          </cell>
          <cell r="J31">
            <v>34.409999999999997</v>
          </cell>
          <cell r="K31">
            <v>39.713140000000003</v>
          </cell>
          <cell r="L31">
            <v>31.85</v>
          </cell>
          <cell r="M31">
            <v>7.7025100000000002</v>
          </cell>
          <cell r="N31">
            <v>-26.815329999999999</v>
          </cell>
          <cell r="O31">
            <v>-36.787439999999997</v>
          </cell>
          <cell r="P31">
            <v>-38.849640000000001</v>
          </cell>
          <cell r="Q31">
            <v>-39.453110000000002</v>
          </cell>
          <cell r="R31">
            <v>-39.7806</v>
          </cell>
          <cell r="S31">
            <v>-39.64593</v>
          </cell>
          <cell r="T31">
            <v>-39.793050000000001</v>
          </cell>
          <cell r="U31">
            <v>-31.558800000000002</v>
          </cell>
          <cell r="V31">
            <v>5.3503400000000001</v>
          </cell>
          <cell r="W31">
            <v>35.880330000000001</v>
          </cell>
          <cell r="X31">
            <v>38.154200000000003</v>
          </cell>
          <cell r="Y31">
            <v>38.32085</v>
          </cell>
          <cell r="Z31">
            <v>36.64134</v>
          </cell>
          <cell r="AA31">
            <v>35.658149999999999</v>
          </cell>
          <cell r="AB31">
            <v>31.903379999999999</v>
          </cell>
        </row>
        <row r="32">
          <cell r="A32">
            <v>45380</v>
          </cell>
          <cell r="E32">
            <v>21.09252</v>
          </cell>
          <cell r="F32">
            <v>20.664809999999999</v>
          </cell>
          <cell r="G32">
            <v>22.137589999999999</v>
          </cell>
          <cell r="H32">
            <v>22.296430000000001</v>
          </cell>
          <cell r="I32">
            <v>21.40849</v>
          </cell>
          <cell r="J32">
            <v>28.987549999999999</v>
          </cell>
          <cell r="K32">
            <v>36.698619999999998</v>
          </cell>
          <cell r="L32">
            <v>31.461290000000002</v>
          </cell>
          <cell r="M32">
            <v>-1.5307999999999999</v>
          </cell>
          <cell r="N32">
            <v>-26.46152</v>
          </cell>
          <cell r="O32">
            <v>-38.75121</v>
          </cell>
          <cell r="P32">
            <v>-40.412410000000001</v>
          </cell>
          <cell r="Q32">
            <v>-39.541240000000002</v>
          </cell>
          <cell r="R32">
            <v>-40.113810000000001</v>
          </cell>
          <cell r="S32">
            <v>-39.977620000000002</v>
          </cell>
          <cell r="T32">
            <v>-40.313510000000001</v>
          </cell>
          <cell r="U32">
            <v>-28.497869999999999</v>
          </cell>
          <cell r="V32">
            <v>16.63139</v>
          </cell>
          <cell r="W32">
            <v>33.22</v>
          </cell>
          <cell r="X32">
            <v>36.636789999999998</v>
          </cell>
          <cell r="Y32">
            <v>35.743160000000003</v>
          </cell>
          <cell r="Z32">
            <v>33.22</v>
          </cell>
          <cell r="AA32">
            <v>29.596360000000001</v>
          </cell>
          <cell r="AB32">
            <v>28.44042</v>
          </cell>
        </row>
        <row r="33">
          <cell r="A33">
            <v>45381</v>
          </cell>
          <cell r="E33">
            <v>35.561979999999998</v>
          </cell>
          <cell r="F33">
            <v>33.209240000000001</v>
          </cell>
          <cell r="G33">
            <v>30.927510000000002</v>
          </cell>
          <cell r="H33">
            <v>32.028750000000002</v>
          </cell>
          <cell r="I33">
            <v>30.984839999999998</v>
          </cell>
          <cell r="J33">
            <v>38.49783</v>
          </cell>
          <cell r="K33">
            <v>39.01688</v>
          </cell>
          <cell r="L33">
            <v>33.877679999999998</v>
          </cell>
          <cell r="M33">
            <v>27.60642</v>
          </cell>
          <cell r="N33">
            <v>11.582140000000001</v>
          </cell>
          <cell r="O33">
            <v>4.3236100000000004</v>
          </cell>
          <cell r="P33">
            <v>-1.09246</v>
          </cell>
          <cell r="Q33">
            <v>-1.9200200000000001</v>
          </cell>
          <cell r="R33">
            <v>-5.1963200000000001</v>
          </cell>
          <cell r="S33">
            <v>-2.9357099999999998</v>
          </cell>
          <cell r="T33">
            <v>1.9496800000000001</v>
          </cell>
          <cell r="U33">
            <v>18.0641</v>
          </cell>
          <cell r="V33">
            <v>32.083410000000001</v>
          </cell>
          <cell r="W33">
            <v>40.799999999999997</v>
          </cell>
          <cell r="X33">
            <v>41.049039999999998</v>
          </cell>
          <cell r="Y33">
            <v>40.361609999999999</v>
          </cell>
          <cell r="Z33">
            <v>40.231009999999998</v>
          </cell>
          <cell r="AA33">
            <v>39.763199999999998</v>
          </cell>
          <cell r="AB33">
            <v>37.360309999999998</v>
          </cell>
        </row>
        <row r="34">
          <cell r="A34">
            <v>45382</v>
          </cell>
          <cell r="E34">
            <v>37.290610000000001</v>
          </cell>
          <cell r="F34">
            <v>36.175379999999997</v>
          </cell>
          <cell r="G34">
            <v>34.299140000000001</v>
          </cell>
          <cell r="H34">
            <v>32.469799999999999</v>
          </cell>
          <cell r="I34">
            <v>33.916789999999999</v>
          </cell>
          <cell r="J34">
            <v>36.204689999999999</v>
          </cell>
          <cell r="K34">
            <v>37.211100000000002</v>
          </cell>
          <cell r="L34">
            <v>31.893540000000002</v>
          </cell>
          <cell r="M34">
            <v>10.66991</v>
          </cell>
          <cell r="N34">
            <v>-1.78827</v>
          </cell>
          <cell r="O34">
            <v>-10.573869999999999</v>
          </cell>
          <cell r="P34">
            <v>-13.87607</v>
          </cell>
          <cell r="Q34">
            <v>-15.76843</v>
          </cell>
          <cell r="R34">
            <v>-16.010000000000002</v>
          </cell>
          <cell r="S34">
            <v>-14.30757</v>
          </cell>
          <cell r="T34">
            <v>-8.4822699999999998</v>
          </cell>
          <cell r="U34">
            <v>0.58618000000000003</v>
          </cell>
          <cell r="V34">
            <v>27.894310000000001</v>
          </cell>
          <cell r="W34">
            <v>37.82488</v>
          </cell>
          <cell r="X34">
            <v>38.429430000000004</v>
          </cell>
          <cell r="Y34">
            <v>38.327440000000003</v>
          </cell>
          <cell r="Z34">
            <v>38.053440000000002</v>
          </cell>
          <cell r="AA34">
            <v>37.805959999999999</v>
          </cell>
          <cell r="AB34">
            <v>37.880920000000003</v>
          </cell>
        </row>
      </sheetData>
      <sheetData sheetId="1">
        <row r="2">
          <cell r="A2">
            <v>45352</v>
          </cell>
          <cell r="Z2" t="str">
            <v>ST</v>
          </cell>
          <cell r="AA2" t="str">
            <v>NORM</v>
          </cell>
          <cell r="AB2" t="str">
            <v>MAR</v>
          </cell>
        </row>
        <row r="3">
          <cell r="A3">
            <v>45353</v>
          </cell>
          <cell r="Z3" t="str">
            <v>ST</v>
          </cell>
          <cell r="AA3" t="str">
            <v>NORM</v>
          </cell>
          <cell r="AB3" t="str">
            <v>MAR</v>
          </cell>
        </row>
        <row r="4">
          <cell r="A4">
            <v>45354</v>
          </cell>
          <cell r="Z4" t="str">
            <v>ST</v>
          </cell>
          <cell r="AA4" t="str">
            <v>NORM</v>
          </cell>
          <cell r="AB4" t="str">
            <v>MAR</v>
          </cell>
        </row>
        <row r="5">
          <cell r="A5">
            <v>45355</v>
          </cell>
          <cell r="Z5" t="str">
            <v>ST</v>
          </cell>
          <cell r="AA5" t="str">
            <v>NORM</v>
          </cell>
          <cell r="AB5" t="str">
            <v>MAR</v>
          </cell>
        </row>
        <row r="6">
          <cell r="A6">
            <v>45356</v>
          </cell>
          <cell r="Z6" t="str">
            <v>ST</v>
          </cell>
          <cell r="AA6" t="str">
            <v>NORM</v>
          </cell>
          <cell r="AB6" t="str">
            <v>MAR</v>
          </cell>
        </row>
        <row r="7">
          <cell r="A7">
            <v>45357</v>
          </cell>
          <cell r="Z7" t="str">
            <v>ST</v>
          </cell>
          <cell r="AA7" t="str">
            <v>NORM</v>
          </cell>
          <cell r="AB7" t="str">
            <v>MAR</v>
          </cell>
        </row>
        <row r="8">
          <cell r="A8">
            <v>45358</v>
          </cell>
          <cell r="Z8" t="str">
            <v>ST</v>
          </cell>
          <cell r="AA8" t="str">
            <v>NORM</v>
          </cell>
          <cell r="AB8" t="str">
            <v>MAR</v>
          </cell>
        </row>
        <row r="9">
          <cell r="A9">
            <v>45359</v>
          </cell>
          <cell r="Z9" t="str">
            <v>ST</v>
          </cell>
          <cell r="AA9" t="str">
            <v>NORM</v>
          </cell>
          <cell r="AB9" t="str">
            <v>MAR</v>
          </cell>
        </row>
        <row r="10">
          <cell r="A10">
            <v>45360</v>
          </cell>
          <cell r="Z10" t="str">
            <v>ST</v>
          </cell>
          <cell r="AA10" t="str">
            <v>NORM</v>
          </cell>
          <cell r="AB10" t="str">
            <v>MAR</v>
          </cell>
        </row>
        <row r="11">
          <cell r="A11">
            <v>45361</v>
          </cell>
          <cell r="Z11" t="str">
            <v>DST</v>
          </cell>
          <cell r="AA11" t="str">
            <v>SF</v>
          </cell>
          <cell r="AB11" t="str">
            <v>MAR</v>
          </cell>
        </row>
        <row r="12">
          <cell r="A12">
            <v>45362</v>
          </cell>
          <cell r="Z12" t="str">
            <v>DST</v>
          </cell>
          <cell r="AA12" t="str">
            <v>NORM</v>
          </cell>
          <cell r="AB12" t="str">
            <v>MAR</v>
          </cell>
        </row>
        <row r="13">
          <cell r="A13">
            <v>45363</v>
          </cell>
          <cell r="Z13" t="str">
            <v>DST</v>
          </cell>
          <cell r="AA13" t="str">
            <v>NORM</v>
          </cell>
          <cell r="AB13" t="str">
            <v>MAR</v>
          </cell>
        </row>
        <row r="14">
          <cell r="A14">
            <v>45364</v>
          </cell>
          <cell r="Z14" t="str">
            <v>DST</v>
          </cell>
          <cell r="AA14" t="str">
            <v>NORM</v>
          </cell>
          <cell r="AB14" t="str">
            <v>MAR</v>
          </cell>
        </row>
        <row r="15">
          <cell r="A15">
            <v>45365</v>
          </cell>
          <cell r="Z15" t="str">
            <v>DST</v>
          </cell>
          <cell r="AA15" t="str">
            <v>NORM</v>
          </cell>
          <cell r="AB15" t="str">
            <v>MAR</v>
          </cell>
        </row>
        <row r="16">
          <cell r="A16">
            <v>45366</v>
          </cell>
          <cell r="Z16" t="str">
            <v>DST</v>
          </cell>
          <cell r="AA16" t="str">
            <v>NORM</v>
          </cell>
          <cell r="AB16" t="str">
            <v>MAR</v>
          </cell>
        </row>
        <row r="17">
          <cell r="A17">
            <v>45367</v>
          </cell>
          <cell r="Z17" t="str">
            <v>DST</v>
          </cell>
          <cell r="AA17" t="str">
            <v>NORM</v>
          </cell>
          <cell r="AB17" t="str">
            <v>MAR</v>
          </cell>
        </row>
        <row r="18">
          <cell r="A18">
            <v>45368</v>
          </cell>
          <cell r="Z18" t="str">
            <v>DST</v>
          </cell>
          <cell r="AA18" t="str">
            <v>NORM</v>
          </cell>
          <cell r="AB18" t="str">
            <v>MAR</v>
          </cell>
        </row>
        <row r="19">
          <cell r="A19">
            <v>45369</v>
          </cell>
          <cell r="Z19" t="str">
            <v>DST</v>
          </cell>
          <cell r="AA19" t="str">
            <v>NORM</v>
          </cell>
          <cell r="AB19" t="str">
            <v>MAR</v>
          </cell>
        </row>
        <row r="20">
          <cell r="A20">
            <v>45370</v>
          </cell>
          <cell r="Z20" t="str">
            <v>DST</v>
          </cell>
          <cell r="AA20" t="str">
            <v>NORM</v>
          </cell>
          <cell r="AB20" t="str">
            <v>MAR</v>
          </cell>
        </row>
        <row r="21">
          <cell r="A21">
            <v>45371</v>
          </cell>
          <cell r="Z21" t="str">
            <v>DST</v>
          </cell>
          <cell r="AA21" t="str">
            <v>NORM</v>
          </cell>
          <cell r="AB21" t="str">
            <v>MAR</v>
          </cell>
        </row>
        <row r="22">
          <cell r="A22">
            <v>45372</v>
          </cell>
          <cell r="Z22" t="str">
            <v>DST</v>
          </cell>
          <cell r="AA22" t="str">
            <v>NORM</v>
          </cell>
          <cell r="AB22" t="str">
            <v>MAR</v>
          </cell>
        </row>
        <row r="23">
          <cell r="A23">
            <v>45373</v>
          </cell>
          <cell r="Z23" t="str">
            <v>DST</v>
          </cell>
          <cell r="AA23" t="str">
            <v>NORM</v>
          </cell>
          <cell r="AB23" t="str">
            <v>MAR</v>
          </cell>
        </row>
        <row r="24">
          <cell r="A24">
            <v>45374</v>
          </cell>
          <cell r="Z24" t="str">
            <v>DST</v>
          </cell>
          <cell r="AA24" t="str">
            <v>NORM</v>
          </cell>
          <cell r="AB24" t="str">
            <v>MAR</v>
          </cell>
        </row>
        <row r="25">
          <cell r="A25">
            <v>45375</v>
          </cell>
          <cell r="Z25" t="str">
            <v>DST</v>
          </cell>
          <cell r="AA25" t="str">
            <v>NORM</v>
          </cell>
          <cell r="AB25" t="str">
            <v>MAR</v>
          </cell>
        </row>
        <row r="26">
          <cell r="A26">
            <v>45376</v>
          </cell>
          <cell r="Z26" t="str">
            <v>DST</v>
          </cell>
          <cell r="AA26" t="str">
            <v>NORM</v>
          </cell>
          <cell r="AB26" t="str">
            <v>MAR</v>
          </cell>
        </row>
        <row r="27">
          <cell r="A27">
            <v>45377</v>
          </cell>
          <cell r="Z27" t="str">
            <v>DST</v>
          </cell>
          <cell r="AA27" t="str">
            <v>NORM</v>
          </cell>
          <cell r="AB27" t="str">
            <v>MAR</v>
          </cell>
        </row>
        <row r="28">
          <cell r="A28">
            <v>45378</v>
          </cell>
          <cell r="Z28" t="str">
            <v>DST</v>
          </cell>
          <cell r="AA28" t="str">
            <v>NORM</v>
          </cell>
          <cell r="AB28" t="str">
            <v>MAR</v>
          </cell>
        </row>
        <row r="29">
          <cell r="A29">
            <v>45379</v>
          </cell>
          <cell r="Z29" t="str">
            <v>DST</v>
          </cell>
          <cell r="AA29" t="str">
            <v>NORM</v>
          </cell>
          <cell r="AB29" t="str">
            <v>MAR</v>
          </cell>
        </row>
        <row r="30">
          <cell r="A30">
            <v>45380</v>
          </cell>
          <cell r="Z30" t="str">
            <v>DST</v>
          </cell>
          <cell r="AA30" t="str">
            <v>NORM</v>
          </cell>
          <cell r="AB30" t="str">
            <v>MAR</v>
          </cell>
        </row>
        <row r="31">
          <cell r="A31">
            <v>45381</v>
          </cell>
          <cell r="Z31" t="str">
            <v>DST</v>
          </cell>
          <cell r="AA31" t="str">
            <v>NORM</v>
          </cell>
          <cell r="AB31" t="str">
            <v>MAR</v>
          </cell>
        </row>
        <row r="32">
          <cell r="A32">
            <v>45382</v>
          </cell>
          <cell r="Z32" t="str">
            <v>DST</v>
          </cell>
          <cell r="AA32" t="str">
            <v>NORM</v>
          </cell>
          <cell r="AB32" t="str">
            <v>MAR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949A3-6C8F-41A6-85B8-1847FA8D28C2}">
  <dimension ref="A1:Y38"/>
  <sheetViews>
    <sheetView tabSelected="1" zoomScale="80" zoomScaleNormal="80" workbookViewId="0">
      <selection activeCell="D10" sqref="D10"/>
    </sheetView>
  </sheetViews>
  <sheetFormatPr defaultRowHeight="14.4" x14ac:dyDescent="0.3"/>
  <cols>
    <col min="1" max="1" width="20.8867187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s="1">
        <f>'[1]LMP IN PPT'!A4</f>
        <v>45352</v>
      </c>
      <c r="B2">
        <f>IF(AND('[1]LMP IN PPT'!$A4='[1]LMP IN MST'!$A2,'[1]LMP IN MST'!$Z2="ST",'[1]LMP IN MST'!$AA2="NORM",'[1]LMP IN MST'!$AB2="NOV"),'[1]LMP IN PPT'!AC3,IF(AND('[1]LMP IN PPT'!$A4='[1]LMP IN MST'!$A2,'[1]LMP IN MST'!$Z2="ST",'[1]LMP IN MST'!$AA2="NORM",'[1]LMP IN MST'!$AB2="MAR"),'[1]LMP IN PPT'!AB3,IF(AND('[1]LMP IN PPT'!$A4='[1]LMP IN MST'!$A2,'[1]LMP IN MST'!$Z2="ST",'[1]LMP IN MST'!$AA2="NORM",'[1]LMP IN MST'!$AB2=""),'[1]LMP IN PPT'!AB3,IF(AND('[1]LMP IN PPT'!$A4='[1]LMP IN MST'!$A2,'[1]LMP IN MST'!$Z2="DST",'[1]LMP IN MST'!$AA2="FB",'[1]LMP IN MST'!$AB2="NOV"),'[1]LMP IN PPT'!E4,IF(AND('[1]LMP IN PPT'!$A4='[1]LMP IN MST'!$A2,'[1]LMP IN MST'!$Z2="DST",'[1]LMP IN MST'!$AA2="SF",'[1]LMP IN MST'!$AB2="MAR"),'[1]LMP IN PPT'!AB3,IF(AND('[1]LMP IN PPT'!$A4='[1]LMP IN MST'!$A2,'[1]LMP IN MST'!$Z2="DST",'[1]LMP IN MST'!$AA2="NORM",OR('[1]LMP IN MST'!$AB2="MAR",'[1]LMP IN MST'!$AB2="",'[1]LMP IN MST'!$AB2="NOV")),'[1]LMP IN PPT'!E4,0))))))</f>
        <v>29.199570000000001</v>
      </c>
      <c r="C2">
        <f>IF(AND('[1]LMP IN PPT'!$A4='[1]LMP IN MST'!$A2,'[1]LMP IN MST'!$Z2="ST",'[1]LMP IN MST'!$AA2="NORM",OR('[1]LMP IN MST'!$AB2="NOV",'[1]LMP IN MST'!$AB2="MAR",'[1]LMP IN MST'!$AB2="")),'[1]LMP IN PPT'!E4,IF(AND('[1]LMP IN PPT'!$A4='[1]LMP IN MST'!$A2,'[1]LMP IN MST'!$Z2="DST",'[1]LMP IN MST'!$AA2="FB",'[1]LMP IN MST'!$AB2="NOV"),'[1]LMP IN PPT'!F4,IF(AND('[1]LMP IN PPT'!$A4='[1]LMP IN MST'!$A2,'[1]LMP IN MST'!$Z2="DST",'[1]LMP IN MST'!$AA2="SF",'[1]LMP IN MST'!$AB2="MAR"),'[1]LMP IN PPT'!E4,IF(AND('[1]LMP IN PPT'!$A4='[1]LMP IN MST'!$A2,'[1]LMP IN MST'!$Z2="DST",'[1]LMP IN MST'!$AA2="NORM",OR('[1]LMP IN MST'!$AB2="MAR",'[1]LMP IN MST'!$AB2="",'[1]LMP IN MST'!$AB2="NOV")),'[1]LMP IN PPT'!F4,0))))</f>
        <v>28.823239999999998</v>
      </c>
      <c r="D2">
        <f>IF(AND('[1]LMP IN PPT'!$A4='[1]LMP IN MST'!$A2,'[1]LMP IN MST'!$Z2="ST",'[1]LMP IN MST'!$AA2="NORM",OR('[1]LMP IN MST'!$AB2="NOV",'[1]LMP IN MST'!$AB2="MAR",'[1]LMP IN MST'!$AB2="")),'[1]LMP IN PPT'!F4,IF(AND('[1]LMP IN PPT'!$A4='[1]LMP IN MST'!$A2,'[1]LMP IN MST'!$Z2="DST",'[1]LMP IN MST'!$AA2="FB",'[1]LMP IN MST'!$AB2="NOV"),'[1]LMP IN PPT'!G4,IF(AND('[1]LMP IN PPT'!$A4='[1]LMP IN MST'!$A2,'[1]LMP IN MST'!$Z2="DST",'[1]LMP IN MST'!$AA2="SF",'[1]LMP IN MST'!$AB2="MAR"),'[1]LMP IN PPT'!F4,IF(AND('[1]LMP IN PPT'!$A4='[1]LMP IN MST'!$A2,'[1]LMP IN MST'!$Z2="DST",'[1]LMP IN MST'!$AA2="NORM",'[1]LMP IN MST'!$AB2="NOV"),'[1]LMP IN PPT'!H4,IF(AND('[1]LMP IN PPT'!$A4='[1]LMP IN MST'!$A2,'[1]LMP IN MST'!$Z2="DST",'[1]LMP IN MST'!$AA2="NORM",OR('[1]LMP IN MST'!$AB2="MAR",'[1]LMP IN MST'!$AB2="")),'[1]LMP IN PPT'!G4,0)))))</f>
        <v>28.500859999999999</v>
      </c>
      <c r="E2">
        <f>IF(AND('[1]LMP IN PPT'!$A4='[1]LMP IN MST'!$A2,'[1]LMP IN MST'!$Z2="ST",'[1]LMP IN MST'!$AA2="NORM",OR('[1]LMP IN MST'!$AB2="MAR",'[1]LMP IN MST'!$AB2="")),'[1]LMP IN PPT'!G4,IF(AND('[1]LMP IN PPT'!$A4='[1]LMP IN MST'!$A2,'[1]LMP IN MST'!$Z2="DST",'[1]LMP IN MST'!$AA2="FB",'[1]LMP IN MST'!$AB2="NOV"),'[1]LMP IN PPT'!H4,IF(AND('[1]LMP IN PPT'!$A4='[1]LMP IN MST'!$A2,'[1]LMP IN MST'!$Z2="ST",'[1]LMP IN MST'!$AA2="NORM",'[1]LMP IN MST'!$AB2="NOV"),'[1]LMP IN PPT'!H4,IF(AND('[1]LMP IN PPT'!$A4='[1]LMP IN MST'!$A2,'[1]LMP IN MST'!$Z2="DST",'[1]LMP IN MST'!$AA2="SF",'[1]LMP IN MST'!$AB2="MAR"),'[1]LMP IN PPT'!H4,IF(AND('[1]LMP IN PPT'!$A4='[1]LMP IN MST'!$A2,'[1]LMP IN MST'!$Z2="DST",'[1]LMP IN MST'!$AA2="NORM",'[1]LMP IN MST'!$AB2="NOV"),'[1]LMP IN PPT'!I4,IF(AND('[1]LMP IN PPT'!$A4='[1]LMP IN MST'!$A2,'[1]LMP IN MST'!$Z2="DST",'[1]LMP IN MST'!$AA2="NORM",OR('[1]LMP IN MST'!$AB2="MAR",'[1]LMP IN MST'!$AB2="")),'[1]LMP IN PPT'!H4,0))))))</f>
        <v>28.342189999999999</v>
      </c>
      <c r="F2">
        <f>IF(AND('[1]LMP IN PPT'!$A4='[1]LMP IN MST'!$A2,'[1]LMP IN MST'!$Z2="ST",'[1]LMP IN MST'!$AA2="NORM",OR('[1]LMP IN MST'!$AB2="MAR",'[1]LMP IN MST'!$AB2="")),'[1]LMP IN PPT'!H4,IF(AND('[1]LMP IN PPT'!$A4='[1]LMP IN MST'!$A2,'[1]LMP IN MST'!$Z2="DST",'[1]LMP IN MST'!$AA2="FB",'[1]LMP IN MST'!$AB2="NOV"),'[1]LMP IN PPT'!I4,IF(AND('[1]LMP IN PPT'!$A4='[1]LMP IN MST'!$A2,'[1]LMP IN MST'!$Z2="ST",'[1]LMP IN MST'!$AA2="NORM",'[1]LMP IN MST'!$AB2="NOV"),'[1]LMP IN PPT'!I4,IF(AND('[1]LMP IN PPT'!$A4='[1]LMP IN MST'!$A2,'[1]LMP IN MST'!$Z2="DST",'[1]LMP IN MST'!$AA2="SF",'[1]LMP IN MST'!$AB2="MAR"),'[1]LMP IN PPT'!I4,IF(AND('[1]LMP IN PPT'!$A4='[1]LMP IN MST'!$A2,'[1]LMP IN MST'!$Z2="DST",'[1]LMP IN MST'!$AA2="NORM",'[1]LMP IN MST'!$AB2="NOV"),'[1]LMP IN PPT'!J4,IF(AND('[1]LMP IN PPT'!$A4='[1]LMP IN MST'!$A2,'[1]LMP IN MST'!$Z2="DST",'[1]LMP IN MST'!$AA2="NORM",OR('[1]LMP IN MST'!$AB2="MAR",'[1]LMP IN MST'!$AB2="")),'[1]LMP IN PPT'!I4,0))))))</f>
        <v>28.366409999999998</v>
      </c>
      <c r="G2">
        <f>IF(AND('[1]LMP IN PPT'!$A4='[1]LMP IN MST'!$A2,'[1]LMP IN MST'!$Z2="ST",'[1]LMP IN MST'!$AA2="NORM",OR('[1]LMP IN MST'!$AB2="MAR",'[1]LMP IN MST'!$AB2="")),'[1]LMP IN PPT'!I4,IF(AND('[1]LMP IN PPT'!$A4='[1]LMP IN MST'!$A2,'[1]LMP IN MST'!$Z2="DST",'[1]LMP IN MST'!$AA2="FB",'[1]LMP IN MST'!$AB2="NOV"),'[1]LMP IN PPT'!J4,IF(AND('[1]LMP IN PPT'!$A4='[1]LMP IN MST'!$A2,'[1]LMP IN MST'!$Z2="ST",'[1]LMP IN MST'!$AA2="NORM",'[1]LMP IN MST'!$AB2="NOV"),'[1]LMP IN PPT'!J4,IF(AND('[1]LMP IN PPT'!$A4='[1]LMP IN MST'!$A2,'[1]LMP IN MST'!$Z2="DST",'[1]LMP IN MST'!$AA2="SF",'[1]LMP IN MST'!$AB2="MAR"),'[1]LMP IN PPT'!J4,IF(AND('[1]LMP IN PPT'!$A4='[1]LMP IN MST'!$A2,'[1]LMP IN MST'!$Z2="DST",'[1]LMP IN MST'!$AA2="NORM",'[1]LMP IN MST'!$AB2="NOV"),'[1]LMP IN PPT'!K4,IF(AND('[1]LMP IN PPT'!$A4='[1]LMP IN MST'!$A2,'[1]LMP IN MST'!$Z2="DST",'[1]LMP IN MST'!$AA2="NORM",OR('[1]LMP IN MST'!$AB2="MAR",'[1]LMP IN MST'!$AB2="")),'[1]LMP IN PPT'!J4,0))))))</f>
        <v>29.372969999999999</v>
      </c>
      <c r="H2">
        <f>IF(AND('[1]LMP IN PPT'!$A4='[1]LMP IN MST'!$A2,'[1]LMP IN MST'!$Z2="ST",'[1]LMP IN MST'!$AA2="NORM",OR('[1]LMP IN MST'!$AB2="MAR",'[1]LMP IN MST'!$AB2="")),'[1]LMP IN PPT'!J4,IF(AND('[1]LMP IN PPT'!$A4='[1]LMP IN MST'!$A2,'[1]LMP IN MST'!$Z2="DST",'[1]LMP IN MST'!$AA2="FB",'[1]LMP IN MST'!$AB2="NOV"),'[1]LMP IN PPT'!K4,IF(AND('[1]LMP IN PPT'!$A4='[1]LMP IN MST'!$A2,'[1]LMP IN MST'!$Z2="ST",'[1]LMP IN MST'!$AA2="NORM",'[1]LMP IN MST'!$AB2="NOV"),'[1]LMP IN PPT'!K4,IF(AND('[1]LMP IN PPT'!$A4='[1]LMP IN MST'!$A2,'[1]LMP IN MST'!$Z2="DST",'[1]LMP IN MST'!$AA2="SF",'[1]LMP IN MST'!$AB2="MAR"),'[1]LMP IN PPT'!K4,IF(AND('[1]LMP IN PPT'!$A4='[1]LMP IN MST'!$A2,'[1]LMP IN MST'!$Z2="DST",'[1]LMP IN MST'!$AA2="NORM",'[1]LMP IN MST'!$AB2="NOV"),'[1]LMP IN PPT'!L4,IF(AND('[1]LMP IN PPT'!$A4='[1]LMP IN MST'!$A2,'[1]LMP IN MST'!$Z2="DST",'[1]LMP IN MST'!$AA2="NORM",OR('[1]LMP IN MST'!$AB2="MAR",'[1]LMP IN MST'!$AB2="")),'[1]LMP IN PPT'!K4,0))))))</f>
        <v>39.640569999999997</v>
      </c>
      <c r="I2">
        <f>IF(AND('[1]LMP IN PPT'!$A4='[1]LMP IN MST'!$A2,'[1]LMP IN MST'!$Z2="ST",'[1]LMP IN MST'!$AA2="NORM",OR('[1]LMP IN MST'!$AB2="MAR",'[1]LMP IN MST'!$AB2="")),'[1]LMP IN PPT'!K4,IF(AND('[1]LMP IN PPT'!$A4='[1]LMP IN MST'!$A2,'[1]LMP IN MST'!$Z2="DST",'[1]LMP IN MST'!$AA2="FB",'[1]LMP IN MST'!$AB2="NOV"),'[1]LMP IN PPT'!L4,IF(AND('[1]LMP IN PPT'!$A4='[1]LMP IN MST'!$A2,'[1]LMP IN MST'!$Z2="ST",'[1]LMP IN MST'!$AA2="NORM",'[1]LMP IN MST'!$AB2="NOV"),'[1]LMP IN PPT'!L4,IF(AND('[1]LMP IN PPT'!$A4='[1]LMP IN MST'!$A2,'[1]LMP IN MST'!$Z2="DST",'[1]LMP IN MST'!$AA2="SF",'[1]LMP IN MST'!$AB2="MAR"),'[1]LMP IN PPT'!L4,IF(AND('[1]LMP IN PPT'!$A4='[1]LMP IN MST'!$A2,'[1]LMP IN MST'!$Z2="DST",'[1]LMP IN MST'!$AA2="NORM",'[1]LMP IN MST'!$AB2="NOV"),'[1]LMP IN PPT'!M4,IF(AND('[1]LMP IN PPT'!$A4='[1]LMP IN MST'!$A2,'[1]LMP IN MST'!$Z2="DST",'[1]LMP IN MST'!$AA2="NORM",OR('[1]LMP IN MST'!$AB2="MAR",'[1]LMP IN MST'!$AB2="")),'[1]LMP IN PPT'!L4,0))))))</f>
        <v>38.008710000000001</v>
      </c>
      <c r="J2">
        <f>IF(AND('[1]LMP IN PPT'!$A4='[1]LMP IN MST'!$A2,'[1]LMP IN MST'!$Z2="ST",'[1]LMP IN MST'!$AA2="NORM",OR('[1]LMP IN MST'!$AB2="MAR",'[1]LMP IN MST'!$AB2="")),'[1]LMP IN PPT'!L4,IF(AND('[1]LMP IN PPT'!$A4='[1]LMP IN MST'!$A2,'[1]LMP IN MST'!$Z2="DST",'[1]LMP IN MST'!$AA2="FB",'[1]LMP IN MST'!$AB2="NOV"),'[1]LMP IN PPT'!M4,IF(AND('[1]LMP IN PPT'!$A4='[1]LMP IN MST'!$A2,'[1]LMP IN MST'!$Z2="ST",'[1]LMP IN MST'!$AA2="NORM",'[1]LMP IN MST'!$AB2="NOV"),'[1]LMP IN PPT'!M4,IF(AND('[1]LMP IN PPT'!$A4='[1]LMP IN MST'!$A2,'[1]LMP IN MST'!$Z2="DST",'[1]LMP IN MST'!$AA2="SF",'[1]LMP IN MST'!$AB2="MAR"),'[1]LMP IN PPT'!M4,IF(AND('[1]LMP IN PPT'!$A4='[1]LMP IN MST'!$A2,'[1]LMP IN MST'!$Z2="DST",'[1]LMP IN MST'!$AA2="NORM",'[1]LMP IN MST'!$AB2="NOV"),'[1]LMP IN PPT'!N4,IF(AND('[1]LMP IN PPT'!$A4='[1]LMP IN MST'!$A2,'[1]LMP IN MST'!$Z2="DST",'[1]LMP IN MST'!$AA2="NORM",OR('[1]LMP IN MST'!$AB2="MAR",'[1]LMP IN MST'!$AB2="")),'[1]LMP IN PPT'!M4,0))))))</f>
        <v>19.42868</v>
      </c>
      <c r="K2">
        <f>IF(AND('[1]LMP IN PPT'!$A4='[1]LMP IN MST'!$A2,'[1]LMP IN MST'!$Z2="ST",'[1]LMP IN MST'!$AA2="NORM",OR('[1]LMP IN MST'!$AB2="MAR",'[1]LMP IN MST'!$AB2="")),'[1]LMP IN PPT'!M4,IF(AND('[1]LMP IN PPT'!$A4='[1]LMP IN MST'!$A2,'[1]LMP IN MST'!$Z2="DST",'[1]LMP IN MST'!$AA2="FB",'[1]LMP IN MST'!$AB2="NOV"),'[1]LMP IN PPT'!N4,IF(AND('[1]LMP IN PPT'!$A4='[1]LMP IN MST'!$A2,'[1]LMP IN MST'!$Z2="ST",'[1]LMP IN MST'!$AA2="NORM",'[1]LMP IN MST'!$AB2="NOV"),'[1]LMP IN PPT'!N4,IF(AND('[1]LMP IN PPT'!$A4='[1]LMP IN MST'!$A2,'[1]LMP IN MST'!$Z2="DST",'[1]LMP IN MST'!$AA2="SF",'[1]LMP IN MST'!$AB2="MAR"),'[1]LMP IN PPT'!N4,IF(AND('[1]LMP IN PPT'!$A4='[1]LMP IN MST'!$A2,'[1]LMP IN MST'!$Z2="DST",'[1]LMP IN MST'!$AA2="NORM",'[1]LMP IN MST'!$AB2="NOV"),'[1]LMP IN PPT'!O4,IF(AND('[1]LMP IN PPT'!$A4='[1]LMP IN MST'!$A2,'[1]LMP IN MST'!$Z2="DST",'[1]LMP IN MST'!$AA2="NORM",OR('[1]LMP IN MST'!$AB2="MAR",'[1]LMP IN MST'!$AB2="")),'[1]LMP IN PPT'!N4,0))))))</f>
        <v>2.5463499999999999</v>
      </c>
      <c r="L2">
        <f>IF(AND('[1]LMP IN PPT'!$A4='[1]LMP IN MST'!$A2,'[1]LMP IN MST'!$Z2="ST",'[1]LMP IN MST'!$AA2="NORM",OR('[1]LMP IN MST'!$AB2="MAR",'[1]LMP IN MST'!$AB2="")),'[1]LMP IN PPT'!N4,IF(AND('[1]LMP IN PPT'!$A4='[1]LMP IN MST'!$A2,'[1]LMP IN MST'!$Z2="DST",'[1]LMP IN MST'!$AA2="FB",'[1]LMP IN MST'!$AB2="NOV"),'[1]LMP IN PPT'!O4,IF(AND('[1]LMP IN PPT'!$A4='[1]LMP IN MST'!$A2,'[1]LMP IN MST'!$Z2="ST",'[1]LMP IN MST'!$AA2="NORM",'[1]LMP IN MST'!$AB2="NOV"),'[1]LMP IN PPT'!O4,IF(AND('[1]LMP IN PPT'!$A4='[1]LMP IN MST'!$A2,'[1]LMP IN MST'!$Z2="DST",'[1]LMP IN MST'!$AA2="SF",'[1]LMP IN MST'!$AB2="MAR"),'[1]LMP IN PPT'!O4,IF(AND('[1]LMP IN PPT'!$A4='[1]LMP IN MST'!$A2,'[1]LMP IN MST'!$Z2="DST",'[1]LMP IN MST'!$AA2="NORM",'[1]LMP IN MST'!$AB2="NOV"),'[1]LMP IN PPT'!P4,IF(AND('[1]LMP IN PPT'!$A4='[1]LMP IN MST'!$A2,'[1]LMP IN MST'!$Z2="DST",'[1]LMP IN MST'!$AA2="NORM",OR('[1]LMP IN MST'!$AB2="MAR",'[1]LMP IN MST'!$AB2="")),'[1]LMP IN PPT'!O4,0))))))</f>
        <v>-7.1553300000000002</v>
      </c>
      <c r="M2">
        <f>IF(AND('[1]LMP IN PPT'!$A4='[1]LMP IN MST'!$A2,'[1]LMP IN MST'!$Z2="ST",'[1]LMP IN MST'!$AA2="NORM",OR('[1]LMP IN MST'!$AB2="MAR",'[1]LMP IN MST'!$AB2="")),'[1]LMP IN PPT'!O4,IF(AND('[1]LMP IN PPT'!$A4='[1]LMP IN MST'!$A2,'[1]LMP IN MST'!$Z2="DST",'[1]LMP IN MST'!$AA2="FB",'[1]LMP IN MST'!$AB2="NOV"),'[1]LMP IN PPT'!P4,IF(AND('[1]LMP IN PPT'!$A4='[1]LMP IN MST'!$A2,'[1]LMP IN MST'!$Z2="ST",'[1]LMP IN MST'!$AA2="NORM",'[1]LMP IN MST'!$AB2="NOV"),'[1]LMP IN PPT'!P4,IF(AND('[1]LMP IN PPT'!$A4='[1]LMP IN MST'!$A2,'[1]LMP IN MST'!$Z2="DST",'[1]LMP IN MST'!$AA2="SF",'[1]LMP IN MST'!$AB2="MAR"),'[1]LMP IN PPT'!P4,IF(AND('[1]LMP IN PPT'!$A4='[1]LMP IN MST'!$A2,'[1]LMP IN MST'!$Z2="DST",'[1]LMP IN MST'!$AA2="NORM",'[1]LMP IN MST'!$AB2="NOV"),'[1]LMP IN PPT'!Q4,IF(AND('[1]LMP IN PPT'!$A4='[1]LMP IN MST'!$A2,'[1]LMP IN MST'!$Z2="DST",'[1]LMP IN MST'!$AA2="NORM",OR('[1]LMP IN MST'!$AB2="MAR",'[1]LMP IN MST'!$AB2="")),'[1]LMP IN PPT'!P4,0))))))</f>
        <v>-8.4090299999999996</v>
      </c>
      <c r="N2">
        <f>IF(AND('[1]LMP IN PPT'!$A4='[1]LMP IN MST'!$A2,'[1]LMP IN MST'!$Z2="ST",'[1]LMP IN MST'!$AA2="NORM",OR('[1]LMP IN MST'!$AB2="MAR",'[1]LMP IN MST'!$AB2="")),'[1]LMP IN PPT'!P4,IF(AND('[1]LMP IN PPT'!$A4='[1]LMP IN MST'!$A2,'[1]LMP IN MST'!$Z2="DST",'[1]LMP IN MST'!$AA2="FB",'[1]LMP IN MST'!$AB2="NOV"),'[1]LMP IN PPT'!Q4,IF(AND('[1]LMP IN PPT'!$A4='[1]LMP IN MST'!$A2,'[1]LMP IN MST'!$Z2="ST",'[1]LMP IN MST'!$AA2="NORM",'[1]LMP IN MST'!$AB2="NOV"),'[1]LMP IN PPT'!Q4,IF(AND('[1]LMP IN PPT'!$A4='[1]LMP IN MST'!$A2,'[1]LMP IN MST'!$Z2="DST",'[1]LMP IN MST'!$AA2="SF",'[1]LMP IN MST'!$AB2="MAR"),'[1]LMP IN PPT'!Q4,IF(AND('[1]LMP IN PPT'!$A4='[1]LMP IN MST'!$A2,'[1]LMP IN MST'!$Z2="DST",'[1]LMP IN MST'!$AA2="NORM",'[1]LMP IN MST'!$AB2="NOV"),'[1]LMP IN PPT'!R4,IF(AND('[1]LMP IN PPT'!$A4='[1]LMP IN MST'!$A2,'[1]LMP IN MST'!$Z2="DST",'[1]LMP IN MST'!$AA2="NORM",OR('[1]LMP IN MST'!$AB2="MAR",'[1]LMP IN MST'!$AB2="")),'[1]LMP IN PPT'!Q4,0))))))</f>
        <v>-8.95749</v>
      </c>
      <c r="O2">
        <f>IF(AND('[1]LMP IN PPT'!$A4='[1]LMP IN MST'!$A2,'[1]LMP IN MST'!$Z2="ST",'[1]LMP IN MST'!$AA2="NORM",OR('[1]LMP IN MST'!$AB2="MAR",'[1]LMP IN MST'!$AB2="")),'[1]LMP IN PPT'!Q4,IF(AND('[1]LMP IN PPT'!$A4='[1]LMP IN MST'!$A2,'[1]LMP IN MST'!$Z2="DST",'[1]LMP IN MST'!$AA2="FB",'[1]LMP IN MST'!$AB2="NOV"),'[1]LMP IN PPT'!R4,IF(AND('[1]LMP IN PPT'!$A4='[1]LMP IN MST'!$A2,'[1]LMP IN MST'!$Z2="ST",'[1]LMP IN MST'!$AA2="NORM",'[1]LMP IN MST'!$AB2="NOV"),'[1]LMP IN PPT'!R4,IF(AND('[1]LMP IN PPT'!$A4='[1]LMP IN MST'!$A2,'[1]LMP IN MST'!$Z2="DST",'[1]LMP IN MST'!$AA2="SF",'[1]LMP IN MST'!$AB2="MAR"),'[1]LMP IN PPT'!R4,IF(AND('[1]LMP IN PPT'!$A4='[1]LMP IN MST'!$A2,'[1]LMP IN MST'!$Z2="DST",'[1]LMP IN MST'!$AA2="NORM",'[1]LMP IN MST'!$AB2="NOV"),'[1]LMP IN PPT'!S4,IF(AND('[1]LMP IN PPT'!$A4='[1]LMP IN MST'!$A2,'[1]LMP IN MST'!$Z2="DST",'[1]LMP IN MST'!$AA2="NORM",OR('[1]LMP IN MST'!$AB2="MAR",'[1]LMP IN MST'!$AB2="")),'[1]LMP IN PPT'!R4,0))))))</f>
        <v>-11.008850000000001</v>
      </c>
      <c r="P2">
        <f>IF(AND('[1]LMP IN PPT'!$A4='[1]LMP IN MST'!$A2,'[1]LMP IN MST'!$Z2="ST",'[1]LMP IN MST'!$AA2="NORM",OR('[1]LMP IN MST'!$AB2="MAR",'[1]LMP IN MST'!$AB2="")),'[1]LMP IN PPT'!R4,IF(AND('[1]LMP IN PPT'!$A4='[1]LMP IN MST'!$A2,'[1]LMP IN MST'!$Z2="DST",'[1]LMP IN MST'!$AA2="FB",'[1]LMP IN MST'!$AB2="NOV"),'[1]LMP IN PPT'!S4,IF(AND('[1]LMP IN PPT'!$A4='[1]LMP IN MST'!$A2,'[1]LMP IN MST'!$Z2="ST",'[1]LMP IN MST'!$AA2="NORM",'[1]LMP IN MST'!$AB2="NOV"),'[1]LMP IN PPT'!S4,IF(AND('[1]LMP IN PPT'!$A4='[1]LMP IN MST'!$A2,'[1]LMP IN MST'!$Z2="DST",'[1]LMP IN MST'!$AA2="SF",'[1]LMP IN MST'!$AB2="MAR"),'[1]LMP IN PPT'!S4,IF(AND('[1]LMP IN PPT'!$A4='[1]LMP IN MST'!$A2,'[1]LMP IN MST'!$Z2="DST",'[1]LMP IN MST'!$AA2="NORM",'[1]LMP IN MST'!$AB2="NOV"),'[1]LMP IN PPT'!T4,IF(AND('[1]LMP IN PPT'!$A4='[1]LMP IN MST'!$A2,'[1]LMP IN MST'!$Z2="DST",'[1]LMP IN MST'!$AA2="NORM",OR('[1]LMP IN MST'!$AB2="MAR",'[1]LMP IN MST'!$AB2="")),'[1]LMP IN PPT'!S4,0))))))</f>
        <v>-10.910589999999999</v>
      </c>
      <c r="Q2">
        <f>IF(AND('[1]LMP IN PPT'!$A4='[1]LMP IN MST'!$A2,'[1]LMP IN MST'!$Z2="ST",'[1]LMP IN MST'!$AA2="NORM",OR('[1]LMP IN MST'!$AB2="MAR",'[1]LMP IN MST'!$AB2="")),'[1]LMP IN PPT'!S4,IF(AND('[1]LMP IN PPT'!$A4='[1]LMP IN MST'!$A2,'[1]LMP IN MST'!$Z2="DST",'[1]LMP IN MST'!$AA2="FB",'[1]LMP IN MST'!$AB2="NOV"),'[1]LMP IN PPT'!T4,IF(AND('[1]LMP IN PPT'!$A4='[1]LMP IN MST'!$A2,'[1]LMP IN MST'!$Z2="ST",'[1]LMP IN MST'!$AA2="NORM",'[1]LMP IN MST'!$AB2="NOV"),'[1]LMP IN PPT'!T4,IF(AND('[1]LMP IN PPT'!$A4='[1]LMP IN MST'!$A2,'[1]LMP IN MST'!$Z2="DST",'[1]LMP IN MST'!$AA2="SF",'[1]LMP IN MST'!$AB2="MAR"),'[1]LMP IN PPT'!T4,IF(AND('[1]LMP IN PPT'!$A4='[1]LMP IN MST'!$A2,'[1]LMP IN MST'!$Z2="DST",'[1]LMP IN MST'!$AA2="NORM",'[1]LMP IN MST'!$AB2="NOV"),'[1]LMP IN PPT'!U4,IF(AND('[1]LMP IN PPT'!$A4='[1]LMP IN MST'!$A2,'[1]LMP IN MST'!$Z2="DST",'[1]LMP IN MST'!$AA2="NORM",OR('[1]LMP IN MST'!$AB2="MAR",'[1]LMP IN MST'!$AB2="")),'[1]LMP IN PPT'!T4,0))))))</f>
        <v>-10.127750000000001</v>
      </c>
      <c r="R2">
        <f>IF(AND('[1]LMP IN PPT'!$A4='[1]LMP IN MST'!$A2,'[1]LMP IN MST'!$Z2="ST",'[1]LMP IN MST'!$AA2="NORM",OR('[1]LMP IN MST'!$AB2="MAR",'[1]LMP IN MST'!$AB2="")),'[1]LMP IN PPT'!T4,IF(AND('[1]LMP IN PPT'!$A4='[1]LMP IN MST'!$A2,'[1]LMP IN MST'!$Z2="DST",'[1]LMP IN MST'!$AA2="FB",'[1]LMP IN MST'!$AB2="NOV"),'[1]LMP IN PPT'!U4,IF(AND('[1]LMP IN PPT'!$A4='[1]LMP IN MST'!$A2,'[1]LMP IN MST'!$Z2="ST",'[1]LMP IN MST'!$AA2="NORM",'[1]LMP IN MST'!$AB2="NOV"),'[1]LMP IN PPT'!U4,IF(AND('[1]LMP IN PPT'!$A4='[1]LMP IN MST'!$A2,'[1]LMP IN MST'!$Z2="DST",'[1]LMP IN MST'!$AA2="SF",'[1]LMP IN MST'!$AB2="MAR"),'[1]LMP IN PPT'!U4,IF(AND('[1]LMP IN PPT'!$A4='[1]LMP IN MST'!$A2,'[1]LMP IN MST'!$Z2="DST",'[1]LMP IN MST'!$AA2="NORM",'[1]LMP IN MST'!$AB2="NOV"),'[1]LMP IN PPT'!V4,IF(AND('[1]LMP IN PPT'!$A4='[1]LMP IN MST'!$A2,'[1]LMP IN MST'!$Z2="DST",'[1]LMP IN MST'!$AA2="NORM",OR('[1]LMP IN MST'!$AB2="MAR",'[1]LMP IN MST'!$AB2="")),'[1]LMP IN PPT'!U4,0))))))</f>
        <v>-2.8448799999999999</v>
      </c>
      <c r="S2">
        <f>IF(AND('[1]LMP IN PPT'!$A4='[1]LMP IN MST'!$A2,'[1]LMP IN MST'!$Z2="ST",'[1]LMP IN MST'!$AA2="NORM",OR('[1]LMP IN MST'!$AB2="MAR",'[1]LMP IN MST'!$AB2="")),'[1]LMP IN PPT'!U4,IF(AND('[1]LMP IN PPT'!$A4='[1]LMP IN MST'!$A2,'[1]LMP IN MST'!$Z2="DST",'[1]LMP IN MST'!$AA2="FB",'[1]LMP IN MST'!$AB2="NOV"),'[1]LMP IN PPT'!V4,IF(AND('[1]LMP IN PPT'!$A4='[1]LMP IN MST'!$A2,'[1]LMP IN MST'!$Z2="ST",'[1]LMP IN MST'!$AA2="NORM",'[1]LMP IN MST'!$AB2="NOV"),'[1]LMP IN PPT'!V4,IF(AND('[1]LMP IN PPT'!$A4='[1]LMP IN MST'!$A2,'[1]LMP IN MST'!$Z2="DST",'[1]LMP IN MST'!$AA2="SF",'[1]LMP IN MST'!$AB2="MAR"),'[1]LMP IN PPT'!V4,IF(AND('[1]LMP IN PPT'!$A4='[1]LMP IN MST'!$A2,'[1]LMP IN MST'!$Z2="DST",'[1]LMP IN MST'!$AA2="NORM",'[1]LMP IN MST'!$AB2="NOV"),'[1]LMP IN PPT'!W4,IF(AND('[1]LMP IN PPT'!$A4='[1]LMP IN MST'!$A2,'[1]LMP IN MST'!$Z2="DST",'[1]LMP IN MST'!$AA2="NORM",OR('[1]LMP IN MST'!$AB2="MAR",'[1]LMP IN MST'!$AB2="")),'[1]LMP IN PPT'!V4,0))))))</f>
        <v>33.855040000000002</v>
      </c>
      <c r="T2">
        <f>IF(AND('[1]LMP IN PPT'!$A4='[1]LMP IN MST'!$A2,'[1]LMP IN MST'!$Z2="ST",'[1]LMP IN MST'!$AA2="NORM",OR('[1]LMP IN MST'!$AB2="MAR",'[1]LMP IN MST'!$AB2="")),'[1]LMP IN PPT'!V4,IF(AND('[1]LMP IN PPT'!$A4='[1]LMP IN MST'!$A2,'[1]LMP IN MST'!$Z2="DST",'[1]LMP IN MST'!$AA2="FB",'[1]LMP IN MST'!$AB2="NOV"),'[1]LMP IN PPT'!W4,IF(AND('[1]LMP IN PPT'!$A4='[1]LMP IN MST'!$A2,'[1]LMP IN MST'!$Z2="ST",'[1]LMP IN MST'!$AA2="NORM",'[1]LMP IN MST'!$AB2="NOV"),'[1]LMP IN PPT'!W4,IF(AND('[1]LMP IN PPT'!$A4='[1]LMP IN MST'!$A2,'[1]LMP IN MST'!$Z2="DST",'[1]LMP IN MST'!$AA2="SF",'[1]LMP IN MST'!$AB2="MAR"),'[1]LMP IN PPT'!W4,IF(AND('[1]LMP IN PPT'!$A4='[1]LMP IN MST'!$A2,'[1]LMP IN MST'!$Z2="DST",'[1]LMP IN MST'!$AA2="NORM",'[1]LMP IN MST'!$AB2="NOV"),'[1]LMP IN PPT'!X4,IF(AND('[1]LMP IN PPT'!$A4='[1]LMP IN MST'!$A2,'[1]LMP IN MST'!$Z2="DST",'[1]LMP IN MST'!$AA2="NORM",OR('[1]LMP IN MST'!$AB2="MAR",'[1]LMP IN MST'!$AB2="")),'[1]LMP IN PPT'!W4,0))))))</f>
        <v>44.992780000000003</v>
      </c>
      <c r="U2">
        <f>IF(AND('[1]LMP IN PPT'!$A4='[1]LMP IN MST'!$A2,'[1]LMP IN MST'!$Z2="ST",'[1]LMP IN MST'!$AA2="NORM",OR('[1]LMP IN MST'!$AB2="MAR",'[1]LMP IN MST'!$AB2="")),'[1]LMP IN PPT'!W4,IF(AND('[1]LMP IN PPT'!$A4='[1]LMP IN MST'!$A2,'[1]LMP IN MST'!$Z2="DST",'[1]LMP IN MST'!$AA2="FB",'[1]LMP IN MST'!$AB2="NOV"),'[1]LMP IN PPT'!X4,IF(AND('[1]LMP IN PPT'!$A4='[1]LMP IN MST'!$A2,'[1]LMP IN MST'!$Z2="ST",'[1]LMP IN MST'!$AA2="NORM",'[1]LMP IN MST'!$AB2="NOV"),'[1]LMP IN PPT'!X4,IF(AND('[1]LMP IN PPT'!$A4='[1]LMP IN MST'!$A2,'[1]LMP IN MST'!$Z2="DST",'[1]LMP IN MST'!$AA2="SF",'[1]LMP IN MST'!$AB2="MAR"),'[1]LMP IN PPT'!X4,IF(AND('[1]LMP IN PPT'!$A4='[1]LMP IN MST'!$A2,'[1]LMP IN MST'!$Z2="DST",'[1]LMP IN MST'!$AA2="NORM",'[1]LMP IN MST'!$AB2="NOV"),'[1]LMP IN PPT'!Y4,IF(AND('[1]LMP IN PPT'!$A4='[1]LMP IN MST'!$A2,'[1]LMP IN MST'!$Z2="DST",'[1]LMP IN MST'!$AA2="NORM",OR('[1]LMP IN MST'!$AB2="MAR",'[1]LMP IN MST'!$AB2="")),'[1]LMP IN PPT'!X4,0))))))</f>
        <v>46.405920000000002</v>
      </c>
      <c r="V2">
        <f>IF(AND('[1]LMP IN PPT'!$A4='[1]LMP IN MST'!$A2,'[1]LMP IN MST'!$Z2="ST",'[1]LMP IN MST'!$AA2="NORM",OR('[1]LMP IN MST'!$AB2="MAR",'[1]LMP IN MST'!$AB2="")),'[1]LMP IN PPT'!X4,IF(AND('[1]LMP IN PPT'!$A4='[1]LMP IN MST'!$A2,'[1]LMP IN MST'!$Z2="DST",'[1]LMP IN MST'!$AA2="FB",'[1]LMP IN MST'!$AB2="NOV"),'[1]LMP IN PPT'!Y4,IF(AND('[1]LMP IN PPT'!$A4='[1]LMP IN MST'!$A2,'[1]LMP IN MST'!$Z2="ST",'[1]LMP IN MST'!$AA2="NORM",'[1]LMP IN MST'!$AB2="NOV"),'[1]LMP IN PPT'!Y4,IF(AND('[1]LMP IN PPT'!$A4='[1]LMP IN MST'!$A2,'[1]LMP IN MST'!$Z2="DST",'[1]LMP IN MST'!$AA2="SF",'[1]LMP IN MST'!$AB2="MAR"),'[1]LMP IN PPT'!Y4,IF(AND('[1]LMP IN PPT'!$A4='[1]LMP IN MST'!$A2,'[1]LMP IN MST'!$Z2="DST",'[1]LMP IN MST'!$AA2="NORM",'[1]LMP IN MST'!$AB2="NOV"),'[1]LMP IN PPT'!Z4,IF(AND('[1]LMP IN PPT'!$A4='[1]LMP IN MST'!$A2,'[1]LMP IN MST'!$Z2="DST",'[1]LMP IN MST'!$AA2="NORM",OR('[1]LMP IN MST'!$AB2="MAR",'[1]LMP IN MST'!$AB2="")),'[1]LMP IN PPT'!Y4,0))))))</f>
        <v>42.61562</v>
      </c>
      <c r="W2">
        <f>IF(AND('[1]LMP IN PPT'!$A4='[1]LMP IN MST'!$A2,'[1]LMP IN MST'!$Z2="ST",'[1]LMP IN MST'!$AA2="NORM",OR('[1]LMP IN MST'!$AB2="MAR",'[1]LMP IN MST'!$AB2="")),'[1]LMP IN PPT'!Y4,IF(AND('[1]LMP IN PPT'!$A4='[1]LMP IN MST'!$A2,'[1]LMP IN MST'!$Z2="DST",'[1]LMP IN MST'!$AA2="FB",'[1]LMP IN MST'!$AB2="NOV"),'[1]LMP IN PPT'!Z4,IF(AND('[1]LMP IN PPT'!$A4='[1]LMP IN MST'!$A2,'[1]LMP IN MST'!$Z2="ST",'[1]LMP IN MST'!$AA2="NORM",'[1]LMP IN MST'!$AB2="NOV"),'[1]LMP IN PPT'!Z4,IF(AND('[1]LMP IN PPT'!$A4='[1]LMP IN MST'!$A2,'[1]LMP IN MST'!$Z2="DST",'[1]LMP IN MST'!$AA2="SF",'[1]LMP IN MST'!$AB2="MAR"),'[1]LMP IN PPT'!Z4,IF(AND('[1]LMP IN PPT'!$A4='[1]LMP IN MST'!$A2,'[1]LMP IN MST'!$Z2="DST",'[1]LMP IN MST'!$AA2="NORM",'[1]LMP IN MST'!$AB2="NOV"),'[1]LMP IN PPT'!AA4,IF(AND('[1]LMP IN PPT'!$A4='[1]LMP IN MST'!$A2,'[1]LMP IN MST'!$Z2="DST",'[1]LMP IN MST'!$AA2="NORM",OR('[1]LMP IN MST'!$AB2="MAR",'[1]LMP IN MST'!$AB2="")),'[1]LMP IN PPT'!Z4,0))))))</f>
        <v>42.522410000000001</v>
      </c>
      <c r="X2">
        <f>IF(AND('[1]LMP IN PPT'!$A4='[1]LMP IN MST'!$A2,'[1]LMP IN MST'!$Z2="ST",'[1]LMP IN MST'!$AA2="NORM",OR('[1]LMP IN MST'!$AB2="MAR",'[1]LMP IN MST'!$AB2="")),'[1]LMP IN PPT'!Z4,IF(AND('[1]LMP IN PPT'!$A4='[1]LMP IN MST'!$A2,'[1]LMP IN MST'!$Z2="DST",'[1]LMP IN MST'!$AA2="FB",'[1]LMP IN MST'!$AB2="NOV"),'[1]LMP IN PPT'!AA4,IF(AND('[1]LMP IN PPT'!$A4='[1]LMP IN MST'!$A2,'[1]LMP IN MST'!$Z2="ST",'[1]LMP IN MST'!$AA2="NORM",'[1]LMP IN MST'!$AB2="NOV"),'[1]LMP IN PPT'!AA4,IF(AND('[1]LMP IN PPT'!$A4='[1]LMP IN MST'!$A2,'[1]LMP IN MST'!$Z2="DST",'[1]LMP IN MST'!$AA2="SF",'[1]LMP IN MST'!$AB2="MAR"),'[1]LMP IN PPT'!AA4,IF(AND('[1]LMP IN PPT'!$A4='[1]LMP IN MST'!$A2,'[1]LMP IN MST'!$Z2="DST",'[1]LMP IN MST'!$AA2="NORM",'[1]LMP IN MST'!$AB2="NOV"),'[1]LMP IN PPT'!AB4,IF(AND('[1]LMP IN PPT'!$A4='[1]LMP IN MST'!$A2,'[1]LMP IN MST'!$Z2="DST",'[1]LMP IN MST'!$AA2="NORM",OR('[1]LMP IN MST'!$AB2="MAR",'[1]LMP IN MST'!$AB2="")),'[1]LMP IN PPT'!AA4,0))))))</f>
        <v>42.479610000000001</v>
      </c>
      <c r="Y2">
        <f>IF(AND('[1]LMP IN PPT'!$A4='[1]LMP IN MST'!$A2,'[1]LMP IN MST'!$Z2="ST",'[1]LMP IN MST'!$AA2="NORM",OR('[1]LMP IN MST'!$AB2="MAR",'[1]LMP IN MST'!$AB2="")),'[1]LMP IN PPT'!AA4,IF(AND('[1]LMP IN PPT'!$A4='[1]LMP IN MST'!$A2,'[1]LMP IN MST'!$Z2="DST",'[1]LMP IN MST'!$AA2="FB",'[1]LMP IN MST'!$AB2="NOV"),'[1]LMP IN PPT'!AB4,IF(AND('[1]LMP IN PPT'!$A4='[1]LMP IN MST'!$A2,'[1]LMP IN MST'!$Z2="ST",'[1]LMP IN MST'!$AA2="NORM",'[1]LMP IN MST'!$AB2="NOV"),'[1]LMP IN PPT'!AB4,IF(AND('[1]LMP IN PPT'!$A4='[1]LMP IN MST'!$A2,'[1]LMP IN MST'!$Z2="DST",'[1]LMP IN MST'!$AA2="SF",'[1]LMP IN MST'!$AB2="MAR"),'[1]LMP IN PPT'!AB4,IF(AND('[1]LMP IN PPT'!$A4='[1]LMP IN MST'!$A2,'[1]LMP IN MST'!$Z2="DST",'[1]LMP IN MST'!$AA2="NORM",'[1]LMP IN MST'!$AB2="NOV"),'[1]LMP IN PPT'!AC4,IF(AND('[1]LMP IN PPT'!$A4='[1]LMP IN MST'!$A2,'[1]LMP IN MST'!$Z2="DST",'[1]LMP IN MST'!$AA2="NORM",OR('[1]LMP IN MST'!$AB2="MAR",'[1]LMP IN MST'!$AB2="")),'[1]LMP IN PPT'!AB4,0))))))</f>
        <v>39.197189999999999</v>
      </c>
    </row>
    <row r="3" spans="1:25" x14ac:dyDescent="0.3">
      <c r="A3" s="1">
        <f>A2+1</f>
        <v>45353</v>
      </c>
      <c r="B3">
        <f>IF(AND('[1]LMP IN PPT'!$A5='[1]LMP IN MST'!$A3,'[1]LMP IN MST'!$Z3="ST",'[1]LMP IN MST'!$AA3="NORM",'[1]LMP IN MST'!$AB3="NOV"),'[1]LMP IN PPT'!AC4,IF(AND('[1]LMP IN PPT'!$A5='[1]LMP IN MST'!$A3,'[1]LMP IN MST'!$Z3="ST",'[1]LMP IN MST'!$AA3="NORM",'[1]LMP IN MST'!$AB3="MAR"),'[1]LMP IN PPT'!AB4,IF(AND('[1]LMP IN PPT'!$A5='[1]LMP IN MST'!$A3,'[1]LMP IN MST'!$Z3="ST",'[1]LMP IN MST'!$AA3="NORM",'[1]LMP IN MST'!$AB3=""),'[1]LMP IN PPT'!AB4,IF(AND('[1]LMP IN PPT'!$A5='[1]LMP IN MST'!$A3,'[1]LMP IN MST'!$Z3="DST",'[1]LMP IN MST'!$AA3="FB",'[1]LMP IN MST'!$AB3="NOV"),'[1]LMP IN PPT'!E5,IF(AND('[1]LMP IN PPT'!$A5='[1]LMP IN MST'!$A3,'[1]LMP IN MST'!$Z3="DST",'[1]LMP IN MST'!$AA3="SF",'[1]LMP IN MST'!$AB3="MAR"),'[1]LMP IN PPT'!AB4,IF(AND('[1]LMP IN PPT'!$A5='[1]LMP IN MST'!$A3,'[1]LMP IN MST'!$Z3="DST",'[1]LMP IN MST'!$AA3="NORM",OR('[1]LMP IN MST'!$AB3="MAR",'[1]LMP IN MST'!$AB3="",'[1]LMP IN MST'!$AB3="NOV")),'[1]LMP IN PPT'!E5,0))))))</f>
        <v>37.045920000000002</v>
      </c>
      <c r="C3">
        <f>IF(AND('[1]LMP IN PPT'!$A5='[1]LMP IN MST'!$A3,'[1]LMP IN MST'!$Z3="ST",'[1]LMP IN MST'!$AA3="NORM",OR('[1]LMP IN MST'!$AB3="NOV",'[1]LMP IN MST'!$AB3="MAR",'[1]LMP IN MST'!$AB3="")),'[1]LMP IN PPT'!E5,IF(AND('[1]LMP IN PPT'!$A5='[1]LMP IN MST'!$A3,'[1]LMP IN MST'!$Z3="DST",'[1]LMP IN MST'!$AA3="FB",'[1]LMP IN MST'!$AB3="NOV"),'[1]LMP IN PPT'!F5,IF(AND('[1]LMP IN PPT'!$A5='[1]LMP IN MST'!$A3,'[1]LMP IN MST'!$Z3="DST",'[1]LMP IN MST'!$AA3="SF",'[1]LMP IN MST'!$AB3="MAR"),'[1]LMP IN PPT'!E5,IF(AND('[1]LMP IN PPT'!$A5='[1]LMP IN MST'!$A3,'[1]LMP IN MST'!$Z3="DST",'[1]LMP IN MST'!$AA3="NORM",OR('[1]LMP IN MST'!$AB3="MAR",'[1]LMP IN MST'!$AB3="",'[1]LMP IN MST'!$AB3="NOV")),'[1]LMP IN PPT'!F5,0))))</f>
        <v>31.88738</v>
      </c>
      <c r="D3">
        <f>IF(AND('[1]LMP IN PPT'!$A5='[1]LMP IN MST'!$A3,'[1]LMP IN MST'!$Z3="ST",'[1]LMP IN MST'!$AA3="NORM",OR('[1]LMP IN MST'!$AB3="NOV",'[1]LMP IN MST'!$AB3="MAR",'[1]LMP IN MST'!$AB3="")),'[1]LMP IN PPT'!F5,IF(AND('[1]LMP IN PPT'!$A5='[1]LMP IN MST'!$A3,'[1]LMP IN MST'!$Z3="DST",'[1]LMP IN MST'!$AA3="FB",'[1]LMP IN MST'!$AB3="NOV"),'[1]LMP IN PPT'!G5,IF(AND('[1]LMP IN PPT'!$A5='[1]LMP IN MST'!$A3,'[1]LMP IN MST'!$Z3="DST",'[1]LMP IN MST'!$AA3="SF",'[1]LMP IN MST'!$AB3="MAR"),'[1]LMP IN PPT'!F5,IF(AND('[1]LMP IN PPT'!$A5='[1]LMP IN MST'!$A3,'[1]LMP IN MST'!$Z3="DST",'[1]LMP IN MST'!$AA3="NORM",'[1]LMP IN MST'!$AB3="NOV"),'[1]LMP IN PPT'!H5,IF(AND('[1]LMP IN PPT'!$A5='[1]LMP IN MST'!$A3,'[1]LMP IN MST'!$Z3="DST",'[1]LMP IN MST'!$AA3="NORM",OR('[1]LMP IN MST'!$AB3="MAR",'[1]LMP IN MST'!$AB3="")),'[1]LMP IN PPT'!G5,0)))))</f>
        <v>31.193739999999998</v>
      </c>
      <c r="E3">
        <f>IF(AND('[1]LMP IN PPT'!$A5='[1]LMP IN MST'!$A3,'[1]LMP IN MST'!$Z3="ST",'[1]LMP IN MST'!$AA3="NORM",OR('[1]LMP IN MST'!$AB3="MAR",'[1]LMP IN MST'!$AB3="")),'[1]LMP IN PPT'!G5,IF(AND('[1]LMP IN PPT'!$A5='[1]LMP IN MST'!$A3,'[1]LMP IN MST'!$Z3="DST",'[1]LMP IN MST'!$AA3="FB",'[1]LMP IN MST'!$AB3="NOV"),'[1]LMP IN PPT'!H5,IF(AND('[1]LMP IN PPT'!$A5='[1]LMP IN MST'!$A3,'[1]LMP IN MST'!$Z3="ST",'[1]LMP IN MST'!$AA3="NORM",'[1]LMP IN MST'!$AB3="NOV"),'[1]LMP IN PPT'!H5,IF(AND('[1]LMP IN PPT'!$A5='[1]LMP IN MST'!$A3,'[1]LMP IN MST'!$Z3="DST",'[1]LMP IN MST'!$AA3="SF",'[1]LMP IN MST'!$AB3="MAR"),'[1]LMP IN PPT'!H5,IF(AND('[1]LMP IN PPT'!$A5='[1]LMP IN MST'!$A3,'[1]LMP IN MST'!$Z3="DST",'[1]LMP IN MST'!$AA3="NORM",'[1]LMP IN MST'!$AB3="NOV"),'[1]LMP IN PPT'!I5,IF(AND('[1]LMP IN PPT'!$A5='[1]LMP IN MST'!$A3,'[1]LMP IN MST'!$Z3="DST",'[1]LMP IN MST'!$AA3="NORM",OR('[1]LMP IN MST'!$AB3="MAR",'[1]LMP IN MST'!$AB3="")),'[1]LMP IN PPT'!H5,0))))))</f>
        <v>31.259930000000001</v>
      </c>
      <c r="F3">
        <f>IF(AND('[1]LMP IN PPT'!$A5='[1]LMP IN MST'!$A3,'[1]LMP IN MST'!$Z3="ST",'[1]LMP IN MST'!$AA3="NORM",OR('[1]LMP IN MST'!$AB3="MAR",'[1]LMP IN MST'!$AB3="")),'[1]LMP IN PPT'!H5,IF(AND('[1]LMP IN PPT'!$A5='[1]LMP IN MST'!$A3,'[1]LMP IN MST'!$Z3="DST",'[1]LMP IN MST'!$AA3="FB",'[1]LMP IN MST'!$AB3="NOV"),'[1]LMP IN PPT'!I5,IF(AND('[1]LMP IN PPT'!$A5='[1]LMP IN MST'!$A3,'[1]LMP IN MST'!$Z3="ST",'[1]LMP IN MST'!$AA3="NORM",'[1]LMP IN MST'!$AB3="NOV"),'[1]LMP IN PPT'!I5,IF(AND('[1]LMP IN PPT'!$A5='[1]LMP IN MST'!$A3,'[1]LMP IN MST'!$Z3="DST",'[1]LMP IN MST'!$AA3="SF",'[1]LMP IN MST'!$AB3="MAR"),'[1]LMP IN PPT'!I5,IF(AND('[1]LMP IN PPT'!$A5='[1]LMP IN MST'!$A3,'[1]LMP IN MST'!$Z3="DST",'[1]LMP IN MST'!$AA3="NORM",'[1]LMP IN MST'!$AB3="NOV"),'[1]LMP IN PPT'!J5,IF(AND('[1]LMP IN PPT'!$A5='[1]LMP IN MST'!$A3,'[1]LMP IN MST'!$Z3="DST",'[1]LMP IN MST'!$AA3="NORM",OR('[1]LMP IN MST'!$AB3="MAR",'[1]LMP IN MST'!$AB3="")),'[1]LMP IN PPT'!I5,0))))))</f>
        <v>31.194610000000001</v>
      </c>
      <c r="G3">
        <f>IF(AND('[1]LMP IN PPT'!$A5='[1]LMP IN MST'!$A3,'[1]LMP IN MST'!$Z3="ST",'[1]LMP IN MST'!$AA3="NORM",OR('[1]LMP IN MST'!$AB3="MAR",'[1]LMP IN MST'!$AB3="")),'[1]LMP IN PPT'!I5,IF(AND('[1]LMP IN PPT'!$A5='[1]LMP IN MST'!$A3,'[1]LMP IN MST'!$Z3="DST",'[1]LMP IN MST'!$AA3="FB",'[1]LMP IN MST'!$AB3="NOV"),'[1]LMP IN PPT'!J5,IF(AND('[1]LMP IN PPT'!$A5='[1]LMP IN MST'!$A3,'[1]LMP IN MST'!$Z3="ST",'[1]LMP IN MST'!$AA3="NORM",'[1]LMP IN MST'!$AB3="NOV"),'[1]LMP IN PPT'!J5,IF(AND('[1]LMP IN PPT'!$A5='[1]LMP IN MST'!$A3,'[1]LMP IN MST'!$Z3="DST",'[1]LMP IN MST'!$AA3="SF",'[1]LMP IN MST'!$AB3="MAR"),'[1]LMP IN PPT'!J5,IF(AND('[1]LMP IN PPT'!$A5='[1]LMP IN MST'!$A3,'[1]LMP IN MST'!$Z3="DST",'[1]LMP IN MST'!$AA3="NORM",'[1]LMP IN MST'!$AB3="NOV"),'[1]LMP IN PPT'!K5,IF(AND('[1]LMP IN PPT'!$A5='[1]LMP IN MST'!$A3,'[1]LMP IN MST'!$Z3="DST",'[1]LMP IN MST'!$AA3="NORM",OR('[1]LMP IN MST'!$AB3="MAR",'[1]LMP IN MST'!$AB3="")),'[1]LMP IN PPT'!J5,0))))))</f>
        <v>31.29373</v>
      </c>
      <c r="H3">
        <f>IF(AND('[1]LMP IN PPT'!$A5='[1]LMP IN MST'!$A3,'[1]LMP IN MST'!$Z3="ST",'[1]LMP IN MST'!$AA3="NORM",OR('[1]LMP IN MST'!$AB3="MAR",'[1]LMP IN MST'!$AB3="")),'[1]LMP IN PPT'!J5,IF(AND('[1]LMP IN PPT'!$A5='[1]LMP IN MST'!$A3,'[1]LMP IN MST'!$Z3="DST",'[1]LMP IN MST'!$AA3="FB",'[1]LMP IN MST'!$AB3="NOV"),'[1]LMP IN PPT'!K5,IF(AND('[1]LMP IN PPT'!$A5='[1]LMP IN MST'!$A3,'[1]LMP IN MST'!$Z3="ST",'[1]LMP IN MST'!$AA3="NORM",'[1]LMP IN MST'!$AB3="NOV"),'[1]LMP IN PPT'!K5,IF(AND('[1]LMP IN PPT'!$A5='[1]LMP IN MST'!$A3,'[1]LMP IN MST'!$Z3="DST",'[1]LMP IN MST'!$AA3="SF",'[1]LMP IN MST'!$AB3="MAR"),'[1]LMP IN PPT'!K5,IF(AND('[1]LMP IN PPT'!$A5='[1]LMP IN MST'!$A3,'[1]LMP IN MST'!$Z3="DST",'[1]LMP IN MST'!$AA3="NORM",'[1]LMP IN MST'!$AB3="NOV"),'[1]LMP IN PPT'!L5,IF(AND('[1]LMP IN PPT'!$A5='[1]LMP IN MST'!$A3,'[1]LMP IN MST'!$Z3="DST",'[1]LMP IN MST'!$AA3="NORM",OR('[1]LMP IN MST'!$AB3="MAR",'[1]LMP IN MST'!$AB3="")),'[1]LMP IN PPT'!K5,0))))))</f>
        <v>32.239339999999999</v>
      </c>
      <c r="I3">
        <f>IF(AND('[1]LMP IN PPT'!$A5='[1]LMP IN MST'!$A3,'[1]LMP IN MST'!$Z3="ST",'[1]LMP IN MST'!$AA3="NORM",OR('[1]LMP IN MST'!$AB3="MAR",'[1]LMP IN MST'!$AB3="")),'[1]LMP IN PPT'!K5,IF(AND('[1]LMP IN PPT'!$A5='[1]LMP IN MST'!$A3,'[1]LMP IN MST'!$Z3="DST",'[1]LMP IN MST'!$AA3="FB",'[1]LMP IN MST'!$AB3="NOV"),'[1]LMP IN PPT'!L5,IF(AND('[1]LMP IN PPT'!$A5='[1]LMP IN MST'!$A3,'[1]LMP IN MST'!$Z3="ST",'[1]LMP IN MST'!$AA3="NORM",'[1]LMP IN MST'!$AB3="NOV"),'[1]LMP IN PPT'!L5,IF(AND('[1]LMP IN PPT'!$A5='[1]LMP IN MST'!$A3,'[1]LMP IN MST'!$Z3="DST",'[1]LMP IN MST'!$AA3="SF",'[1]LMP IN MST'!$AB3="MAR"),'[1]LMP IN PPT'!L5,IF(AND('[1]LMP IN PPT'!$A5='[1]LMP IN MST'!$A3,'[1]LMP IN MST'!$Z3="DST",'[1]LMP IN MST'!$AA3="NORM",'[1]LMP IN MST'!$AB3="NOV"),'[1]LMP IN PPT'!M5,IF(AND('[1]LMP IN PPT'!$A5='[1]LMP IN MST'!$A3,'[1]LMP IN MST'!$Z3="DST",'[1]LMP IN MST'!$AA3="NORM",OR('[1]LMP IN MST'!$AB3="MAR",'[1]LMP IN MST'!$AB3="")),'[1]LMP IN PPT'!L5,0))))))</f>
        <v>31.74559</v>
      </c>
      <c r="J3">
        <f>IF(AND('[1]LMP IN PPT'!$A5='[1]LMP IN MST'!$A3,'[1]LMP IN MST'!$Z3="ST",'[1]LMP IN MST'!$AA3="NORM",OR('[1]LMP IN MST'!$AB3="MAR",'[1]LMP IN MST'!$AB3="")),'[1]LMP IN PPT'!L5,IF(AND('[1]LMP IN PPT'!$A5='[1]LMP IN MST'!$A3,'[1]LMP IN MST'!$Z3="DST",'[1]LMP IN MST'!$AA3="FB",'[1]LMP IN MST'!$AB3="NOV"),'[1]LMP IN PPT'!M5,IF(AND('[1]LMP IN PPT'!$A5='[1]LMP IN MST'!$A3,'[1]LMP IN MST'!$Z3="ST",'[1]LMP IN MST'!$AA3="NORM",'[1]LMP IN MST'!$AB3="NOV"),'[1]LMP IN PPT'!M5,IF(AND('[1]LMP IN PPT'!$A5='[1]LMP IN MST'!$A3,'[1]LMP IN MST'!$Z3="DST",'[1]LMP IN MST'!$AA3="SF",'[1]LMP IN MST'!$AB3="MAR"),'[1]LMP IN PPT'!M5,IF(AND('[1]LMP IN PPT'!$A5='[1]LMP IN MST'!$A3,'[1]LMP IN MST'!$Z3="DST",'[1]LMP IN MST'!$AA3="NORM",'[1]LMP IN MST'!$AB3="NOV"),'[1]LMP IN PPT'!N5,IF(AND('[1]LMP IN PPT'!$A5='[1]LMP IN MST'!$A3,'[1]LMP IN MST'!$Z3="DST",'[1]LMP IN MST'!$AA3="NORM",OR('[1]LMP IN MST'!$AB3="MAR",'[1]LMP IN MST'!$AB3="")),'[1]LMP IN PPT'!M5,0))))))</f>
        <v>10.256449999999999</v>
      </c>
      <c r="K3">
        <f>IF(AND('[1]LMP IN PPT'!$A5='[1]LMP IN MST'!$A3,'[1]LMP IN MST'!$Z3="ST",'[1]LMP IN MST'!$AA3="NORM",OR('[1]LMP IN MST'!$AB3="MAR",'[1]LMP IN MST'!$AB3="")),'[1]LMP IN PPT'!M5,IF(AND('[1]LMP IN PPT'!$A5='[1]LMP IN MST'!$A3,'[1]LMP IN MST'!$Z3="DST",'[1]LMP IN MST'!$AA3="FB",'[1]LMP IN MST'!$AB3="NOV"),'[1]LMP IN PPT'!N5,IF(AND('[1]LMP IN PPT'!$A5='[1]LMP IN MST'!$A3,'[1]LMP IN MST'!$Z3="ST",'[1]LMP IN MST'!$AA3="NORM",'[1]LMP IN MST'!$AB3="NOV"),'[1]LMP IN PPT'!N5,IF(AND('[1]LMP IN PPT'!$A5='[1]LMP IN MST'!$A3,'[1]LMP IN MST'!$Z3="DST",'[1]LMP IN MST'!$AA3="SF",'[1]LMP IN MST'!$AB3="MAR"),'[1]LMP IN PPT'!N5,IF(AND('[1]LMP IN PPT'!$A5='[1]LMP IN MST'!$A3,'[1]LMP IN MST'!$Z3="DST",'[1]LMP IN MST'!$AA3="NORM",'[1]LMP IN MST'!$AB3="NOV"),'[1]LMP IN PPT'!O5,IF(AND('[1]LMP IN PPT'!$A5='[1]LMP IN MST'!$A3,'[1]LMP IN MST'!$Z3="DST",'[1]LMP IN MST'!$AA3="NORM",OR('[1]LMP IN MST'!$AB3="MAR",'[1]LMP IN MST'!$AB3="")),'[1]LMP IN PPT'!N5,0))))))</f>
        <v>1.5740400000000001</v>
      </c>
      <c r="L3">
        <f>IF(AND('[1]LMP IN PPT'!$A5='[1]LMP IN MST'!$A3,'[1]LMP IN MST'!$Z3="ST",'[1]LMP IN MST'!$AA3="NORM",OR('[1]LMP IN MST'!$AB3="MAR",'[1]LMP IN MST'!$AB3="")),'[1]LMP IN PPT'!N5,IF(AND('[1]LMP IN PPT'!$A5='[1]LMP IN MST'!$A3,'[1]LMP IN MST'!$Z3="DST",'[1]LMP IN MST'!$AA3="FB",'[1]LMP IN MST'!$AB3="NOV"),'[1]LMP IN PPT'!O5,IF(AND('[1]LMP IN PPT'!$A5='[1]LMP IN MST'!$A3,'[1]LMP IN MST'!$Z3="ST",'[1]LMP IN MST'!$AA3="NORM",'[1]LMP IN MST'!$AB3="NOV"),'[1]LMP IN PPT'!O5,IF(AND('[1]LMP IN PPT'!$A5='[1]LMP IN MST'!$A3,'[1]LMP IN MST'!$Z3="DST",'[1]LMP IN MST'!$AA3="SF",'[1]LMP IN MST'!$AB3="MAR"),'[1]LMP IN PPT'!O5,IF(AND('[1]LMP IN PPT'!$A5='[1]LMP IN MST'!$A3,'[1]LMP IN MST'!$Z3="DST",'[1]LMP IN MST'!$AA3="NORM",'[1]LMP IN MST'!$AB3="NOV"),'[1]LMP IN PPT'!P5,IF(AND('[1]LMP IN PPT'!$A5='[1]LMP IN MST'!$A3,'[1]LMP IN MST'!$Z3="DST",'[1]LMP IN MST'!$AA3="NORM",OR('[1]LMP IN MST'!$AB3="MAR",'[1]LMP IN MST'!$AB3="")),'[1]LMP IN PPT'!O5,0))))))</f>
        <v>1.37215</v>
      </c>
      <c r="M3">
        <f>IF(AND('[1]LMP IN PPT'!$A5='[1]LMP IN MST'!$A3,'[1]LMP IN MST'!$Z3="ST",'[1]LMP IN MST'!$AA3="NORM",OR('[1]LMP IN MST'!$AB3="MAR",'[1]LMP IN MST'!$AB3="")),'[1]LMP IN PPT'!O5,IF(AND('[1]LMP IN PPT'!$A5='[1]LMP IN MST'!$A3,'[1]LMP IN MST'!$Z3="DST",'[1]LMP IN MST'!$AA3="FB",'[1]LMP IN MST'!$AB3="NOV"),'[1]LMP IN PPT'!P5,IF(AND('[1]LMP IN PPT'!$A5='[1]LMP IN MST'!$A3,'[1]LMP IN MST'!$Z3="ST",'[1]LMP IN MST'!$AA3="NORM",'[1]LMP IN MST'!$AB3="NOV"),'[1]LMP IN PPT'!P5,IF(AND('[1]LMP IN PPT'!$A5='[1]LMP IN MST'!$A3,'[1]LMP IN MST'!$Z3="DST",'[1]LMP IN MST'!$AA3="SF",'[1]LMP IN MST'!$AB3="MAR"),'[1]LMP IN PPT'!P5,IF(AND('[1]LMP IN PPT'!$A5='[1]LMP IN MST'!$A3,'[1]LMP IN MST'!$Z3="DST",'[1]LMP IN MST'!$AA3="NORM",'[1]LMP IN MST'!$AB3="NOV"),'[1]LMP IN PPT'!Q5,IF(AND('[1]LMP IN PPT'!$A5='[1]LMP IN MST'!$A3,'[1]LMP IN MST'!$Z3="DST",'[1]LMP IN MST'!$AA3="NORM",OR('[1]LMP IN MST'!$AB3="MAR",'[1]LMP IN MST'!$AB3="")),'[1]LMP IN PPT'!P5,0))))))</f>
        <v>0.36534</v>
      </c>
      <c r="N3">
        <f>IF(AND('[1]LMP IN PPT'!$A5='[1]LMP IN MST'!$A3,'[1]LMP IN MST'!$Z3="ST",'[1]LMP IN MST'!$AA3="NORM",OR('[1]LMP IN MST'!$AB3="MAR",'[1]LMP IN MST'!$AB3="")),'[1]LMP IN PPT'!P5,IF(AND('[1]LMP IN PPT'!$A5='[1]LMP IN MST'!$A3,'[1]LMP IN MST'!$Z3="DST",'[1]LMP IN MST'!$AA3="FB",'[1]LMP IN MST'!$AB3="NOV"),'[1]LMP IN PPT'!Q5,IF(AND('[1]LMP IN PPT'!$A5='[1]LMP IN MST'!$A3,'[1]LMP IN MST'!$Z3="ST",'[1]LMP IN MST'!$AA3="NORM",'[1]LMP IN MST'!$AB3="NOV"),'[1]LMP IN PPT'!Q5,IF(AND('[1]LMP IN PPT'!$A5='[1]LMP IN MST'!$A3,'[1]LMP IN MST'!$Z3="DST",'[1]LMP IN MST'!$AA3="SF",'[1]LMP IN MST'!$AB3="MAR"),'[1]LMP IN PPT'!Q5,IF(AND('[1]LMP IN PPT'!$A5='[1]LMP IN MST'!$A3,'[1]LMP IN MST'!$Z3="DST",'[1]LMP IN MST'!$AA3="NORM",'[1]LMP IN MST'!$AB3="NOV"),'[1]LMP IN PPT'!R5,IF(AND('[1]LMP IN PPT'!$A5='[1]LMP IN MST'!$A3,'[1]LMP IN MST'!$Z3="DST",'[1]LMP IN MST'!$AA3="NORM",OR('[1]LMP IN MST'!$AB3="MAR",'[1]LMP IN MST'!$AB3="")),'[1]LMP IN PPT'!Q5,0))))))</f>
        <v>-0.81116999999999995</v>
      </c>
      <c r="O3">
        <f>IF(AND('[1]LMP IN PPT'!$A5='[1]LMP IN MST'!$A3,'[1]LMP IN MST'!$Z3="ST",'[1]LMP IN MST'!$AA3="NORM",OR('[1]LMP IN MST'!$AB3="MAR",'[1]LMP IN MST'!$AB3="")),'[1]LMP IN PPT'!Q5,IF(AND('[1]LMP IN PPT'!$A5='[1]LMP IN MST'!$A3,'[1]LMP IN MST'!$Z3="DST",'[1]LMP IN MST'!$AA3="FB",'[1]LMP IN MST'!$AB3="NOV"),'[1]LMP IN PPT'!R5,IF(AND('[1]LMP IN PPT'!$A5='[1]LMP IN MST'!$A3,'[1]LMP IN MST'!$Z3="ST",'[1]LMP IN MST'!$AA3="NORM",'[1]LMP IN MST'!$AB3="NOV"),'[1]LMP IN PPT'!R5,IF(AND('[1]LMP IN PPT'!$A5='[1]LMP IN MST'!$A3,'[1]LMP IN MST'!$Z3="DST",'[1]LMP IN MST'!$AA3="SF",'[1]LMP IN MST'!$AB3="MAR"),'[1]LMP IN PPT'!R5,IF(AND('[1]LMP IN PPT'!$A5='[1]LMP IN MST'!$A3,'[1]LMP IN MST'!$Z3="DST",'[1]LMP IN MST'!$AA3="NORM",'[1]LMP IN MST'!$AB3="NOV"),'[1]LMP IN PPT'!S5,IF(AND('[1]LMP IN PPT'!$A5='[1]LMP IN MST'!$A3,'[1]LMP IN MST'!$Z3="DST",'[1]LMP IN MST'!$AA3="NORM",OR('[1]LMP IN MST'!$AB3="MAR",'[1]LMP IN MST'!$AB3="")),'[1]LMP IN PPT'!R5,0))))))</f>
        <v>-4.7201899999999997</v>
      </c>
      <c r="P3">
        <f>IF(AND('[1]LMP IN PPT'!$A5='[1]LMP IN MST'!$A3,'[1]LMP IN MST'!$Z3="ST",'[1]LMP IN MST'!$AA3="NORM",OR('[1]LMP IN MST'!$AB3="MAR",'[1]LMP IN MST'!$AB3="")),'[1]LMP IN PPT'!R5,IF(AND('[1]LMP IN PPT'!$A5='[1]LMP IN MST'!$A3,'[1]LMP IN MST'!$Z3="DST",'[1]LMP IN MST'!$AA3="FB",'[1]LMP IN MST'!$AB3="NOV"),'[1]LMP IN PPT'!S5,IF(AND('[1]LMP IN PPT'!$A5='[1]LMP IN MST'!$A3,'[1]LMP IN MST'!$Z3="ST",'[1]LMP IN MST'!$AA3="NORM",'[1]LMP IN MST'!$AB3="NOV"),'[1]LMP IN PPT'!S5,IF(AND('[1]LMP IN PPT'!$A5='[1]LMP IN MST'!$A3,'[1]LMP IN MST'!$Z3="DST",'[1]LMP IN MST'!$AA3="SF",'[1]LMP IN MST'!$AB3="MAR"),'[1]LMP IN PPT'!S5,IF(AND('[1]LMP IN PPT'!$A5='[1]LMP IN MST'!$A3,'[1]LMP IN MST'!$Z3="DST",'[1]LMP IN MST'!$AA3="NORM",'[1]LMP IN MST'!$AB3="NOV"),'[1]LMP IN PPT'!T5,IF(AND('[1]LMP IN PPT'!$A5='[1]LMP IN MST'!$A3,'[1]LMP IN MST'!$Z3="DST",'[1]LMP IN MST'!$AA3="NORM",OR('[1]LMP IN MST'!$AB3="MAR",'[1]LMP IN MST'!$AB3="")),'[1]LMP IN PPT'!S5,0))))))</f>
        <v>-7.8696799999999998</v>
      </c>
      <c r="Q3">
        <f>IF(AND('[1]LMP IN PPT'!$A5='[1]LMP IN MST'!$A3,'[1]LMP IN MST'!$Z3="ST",'[1]LMP IN MST'!$AA3="NORM",OR('[1]LMP IN MST'!$AB3="MAR",'[1]LMP IN MST'!$AB3="")),'[1]LMP IN PPT'!S5,IF(AND('[1]LMP IN PPT'!$A5='[1]LMP IN MST'!$A3,'[1]LMP IN MST'!$Z3="DST",'[1]LMP IN MST'!$AA3="FB",'[1]LMP IN MST'!$AB3="NOV"),'[1]LMP IN PPT'!T5,IF(AND('[1]LMP IN PPT'!$A5='[1]LMP IN MST'!$A3,'[1]LMP IN MST'!$Z3="ST",'[1]LMP IN MST'!$AA3="NORM",'[1]LMP IN MST'!$AB3="NOV"),'[1]LMP IN PPT'!T5,IF(AND('[1]LMP IN PPT'!$A5='[1]LMP IN MST'!$A3,'[1]LMP IN MST'!$Z3="DST",'[1]LMP IN MST'!$AA3="SF",'[1]LMP IN MST'!$AB3="MAR"),'[1]LMP IN PPT'!T5,IF(AND('[1]LMP IN PPT'!$A5='[1]LMP IN MST'!$A3,'[1]LMP IN MST'!$Z3="DST",'[1]LMP IN MST'!$AA3="NORM",'[1]LMP IN MST'!$AB3="NOV"),'[1]LMP IN PPT'!U5,IF(AND('[1]LMP IN PPT'!$A5='[1]LMP IN MST'!$A3,'[1]LMP IN MST'!$Z3="DST",'[1]LMP IN MST'!$AA3="NORM",OR('[1]LMP IN MST'!$AB3="MAR",'[1]LMP IN MST'!$AB3="")),'[1]LMP IN PPT'!T5,0))))))</f>
        <v>-7.2118799999999998</v>
      </c>
      <c r="R3">
        <f>IF(AND('[1]LMP IN PPT'!$A5='[1]LMP IN MST'!$A3,'[1]LMP IN MST'!$Z3="ST",'[1]LMP IN MST'!$AA3="NORM",OR('[1]LMP IN MST'!$AB3="MAR",'[1]LMP IN MST'!$AB3="")),'[1]LMP IN PPT'!T5,IF(AND('[1]LMP IN PPT'!$A5='[1]LMP IN MST'!$A3,'[1]LMP IN MST'!$Z3="DST",'[1]LMP IN MST'!$AA3="FB",'[1]LMP IN MST'!$AB3="NOV"),'[1]LMP IN PPT'!U5,IF(AND('[1]LMP IN PPT'!$A5='[1]LMP IN MST'!$A3,'[1]LMP IN MST'!$Z3="ST",'[1]LMP IN MST'!$AA3="NORM",'[1]LMP IN MST'!$AB3="NOV"),'[1]LMP IN PPT'!U5,IF(AND('[1]LMP IN PPT'!$A5='[1]LMP IN MST'!$A3,'[1]LMP IN MST'!$Z3="DST",'[1]LMP IN MST'!$AA3="SF",'[1]LMP IN MST'!$AB3="MAR"),'[1]LMP IN PPT'!U5,IF(AND('[1]LMP IN PPT'!$A5='[1]LMP IN MST'!$A3,'[1]LMP IN MST'!$Z3="DST",'[1]LMP IN MST'!$AA3="NORM",'[1]LMP IN MST'!$AB3="NOV"),'[1]LMP IN PPT'!V5,IF(AND('[1]LMP IN PPT'!$A5='[1]LMP IN MST'!$A3,'[1]LMP IN MST'!$Z3="DST",'[1]LMP IN MST'!$AA3="NORM",OR('[1]LMP IN MST'!$AB3="MAR",'[1]LMP IN MST'!$AB3="")),'[1]LMP IN PPT'!U5,0))))))</f>
        <v>0.47693999999999998</v>
      </c>
      <c r="S3">
        <f>IF(AND('[1]LMP IN PPT'!$A5='[1]LMP IN MST'!$A3,'[1]LMP IN MST'!$Z3="ST",'[1]LMP IN MST'!$AA3="NORM",OR('[1]LMP IN MST'!$AB3="MAR",'[1]LMP IN MST'!$AB3="")),'[1]LMP IN PPT'!U5,IF(AND('[1]LMP IN PPT'!$A5='[1]LMP IN MST'!$A3,'[1]LMP IN MST'!$Z3="DST",'[1]LMP IN MST'!$AA3="FB",'[1]LMP IN MST'!$AB3="NOV"),'[1]LMP IN PPT'!V5,IF(AND('[1]LMP IN PPT'!$A5='[1]LMP IN MST'!$A3,'[1]LMP IN MST'!$Z3="ST",'[1]LMP IN MST'!$AA3="NORM",'[1]LMP IN MST'!$AB3="NOV"),'[1]LMP IN PPT'!V5,IF(AND('[1]LMP IN PPT'!$A5='[1]LMP IN MST'!$A3,'[1]LMP IN MST'!$Z3="DST",'[1]LMP IN MST'!$AA3="SF",'[1]LMP IN MST'!$AB3="MAR"),'[1]LMP IN PPT'!V5,IF(AND('[1]LMP IN PPT'!$A5='[1]LMP IN MST'!$A3,'[1]LMP IN MST'!$Z3="DST",'[1]LMP IN MST'!$AA3="NORM",'[1]LMP IN MST'!$AB3="NOV"),'[1]LMP IN PPT'!W5,IF(AND('[1]LMP IN PPT'!$A5='[1]LMP IN MST'!$A3,'[1]LMP IN MST'!$Z3="DST",'[1]LMP IN MST'!$AA3="NORM",OR('[1]LMP IN MST'!$AB3="MAR",'[1]LMP IN MST'!$AB3="")),'[1]LMP IN PPT'!V5,0))))))</f>
        <v>20.151800000000001</v>
      </c>
      <c r="T3">
        <f>IF(AND('[1]LMP IN PPT'!$A5='[1]LMP IN MST'!$A3,'[1]LMP IN MST'!$Z3="ST",'[1]LMP IN MST'!$AA3="NORM",OR('[1]LMP IN MST'!$AB3="MAR",'[1]LMP IN MST'!$AB3="")),'[1]LMP IN PPT'!V5,IF(AND('[1]LMP IN PPT'!$A5='[1]LMP IN MST'!$A3,'[1]LMP IN MST'!$Z3="DST",'[1]LMP IN MST'!$AA3="FB",'[1]LMP IN MST'!$AB3="NOV"),'[1]LMP IN PPT'!W5,IF(AND('[1]LMP IN PPT'!$A5='[1]LMP IN MST'!$A3,'[1]LMP IN MST'!$Z3="ST",'[1]LMP IN MST'!$AA3="NORM",'[1]LMP IN MST'!$AB3="NOV"),'[1]LMP IN PPT'!W5,IF(AND('[1]LMP IN PPT'!$A5='[1]LMP IN MST'!$A3,'[1]LMP IN MST'!$Z3="DST",'[1]LMP IN MST'!$AA3="SF",'[1]LMP IN MST'!$AB3="MAR"),'[1]LMP IN PPT'!W5,IF(AND('[1]LMP IN PPT'!$A5='[1]LMP IN MST'!$A3,'[1]LMP IN MST'!$Z3="DST",'[1]LMP IN MST'!$AA3="NORM",'[1]LMP IN MST'!$AB3="NOV"),'[1]LMP IN PPT'!X5,IF(AND('[1]LMP IN PPT'!$A5='[1]LMP IN MST'!$A3,'[1]LMP IN MST'!$Z3="DST",'[1]LMP IN MST'!$AA3="NORM",OR('[1]LMP IN MST'!$AB3="MAR",'[1]LMP IN MST'!$AB3="")),'[1]LMP IN PPT'!W5,0))))))</f>
        <v>41.333260000000003</v>
      </c>
      <c r="U3">
        <f>IF(AND('[1]LMP IN PPT'!$A5='[1]LMP IN MST'!$A3,'[1]LMP IN MST'!$Z3="ST",'[1]LMP IN MST'!$AA3="NORM",OR('[1]LMP IN MST'!$AB3="MAR",'[1]LMP IN MST'!$AB3="")),'[1]LMP IN PPT'!W5,IF(AND('[1]LMP IN PPT'!$A5='[1]LMP IN MST'!$A3,'[1]LMP IN MST'!$Z3="DST",'[1]LMP IN MST'!$AA3="FB",'[1]LMP IN MST'!$AB3="NOV"),'[1]LMP IN PPT'!X5,IF(AND('[1]LMP IN PPT'!$A5='[1]LMP IN MST'!$A3,'[1]LMP IN MST'!$Z3="ST",'[1]LMP IN MST'!$AA3="NORM",'[1]LMP IN MST'!$AB3="NOV"),'[1]LMP IN PPT'!X5,IF(AND('[1]LMP IN PPT'!$A5='[1]LMP IN MST'!$A3,'[1]LMP IN MST'!$Z3="DST",'[1]LMP IN MST'!$AA3="SF",'[1]LMP IN MST'!$AB3="MAR"),'[1]LMP IN PPT'!X5,IF(AND('[1]LMP IN PPT'!$A5='[1]LMP IN MST'!$A3,'[1]LMP IN MST'!$Z3="DST",'[1]LMP IN MST'!$AA3="NORM",'[1]LMP IN MST'!$AB3="NOV"),'[1]LMP IN PPT'!Y5,IF(AND('[1]LMP IN PPT'!$A5='[1]LMP IN MST'!$A3,'[1]LMP IN MST'!$Z3="DST",'[1]LMP IN MST'!$AA3="NORM",OR('[1]LMP IN MST'!$AB3="MAR",'[1]LMP IN MST'!$AB3="")),'[1]LMP IN PPT'!X5,0))))))</f>
        <v>43.890799999999999</v>
      </c>
      <c r="V3">
        <f>IF(AND('[1]LMP IN PPT'!$A5='[1]LMP IN MST'!$A3,'[1]LMP IN MST'!$Z3="ST",'[1]LMP IN MST'!$AA3="NORM",OR('[1]LMP IN MST'!$AB3="MAR",'[1]LMP IN MST'!$AB3="")),'[1]LMP IN PPT'!X5,IF(AND('[1]LMP IN PPT'!$A5='[1]LMP IN MST'!$A3,'[1]LMP IN MST'!$Z3="DST",'[1]LMP IN MST'!$AA3="FB",'[1]LMP IN MST'!$AB3="NOV"),'[1]LMP IN PPT'!Y5,IF(AND('[1]LMP IN PPT'!$A5='[1]LMP IN MST'!$A3,'[1]LMP IN MST'!$Z3="ST",'[1]LMP IN MST'!$AA3="NORM",'[1]LMP IN MST'!$AB3="NOV"),'[1]LMP IN PPT'!Y5,IF(AND('[1]LMP IN PPT'!$A5='[1]LMP IN MST'!$A3,'[1]LMP IN MST'!$Z3="DST",'[1]LMP IN MST'!$AA3="SF",'[1]LMP IN MST'!$AB3="MAR"),'[1]LMP IN PPT'!Y5,IF(AND('[1]LMP IN PPT'!$A5='[1]LMP IN MST'!$A3,'[1]LMP IN MST'!$Z3="DST",'[1]LMP IN MST'!$AA3="NORM",'[1]LMP IN MST'!$AB3="NOV"),'[1]LMP IN PPT'!Z5,IF(AND('[1]LMP IN PPT'!$A5='[1]LMP IN MST'!$A3,'[1]LMP IN MST'!$Z3="DST",'[1]LMP IN MST'!$AA3="NORM",OR('[1]LMP IN MST'!$AB3="MAR",'[1]LMP IN MST'!$AB3="")),'[1]LMP IN PPT'!Y5,0))))))</f>
        <v>41.4619</v>
      </c>
      <c r="W3">
        <f>IF(AND('[1]LMP IN PPT'!$A5='[1]LMP IN MST'!$A3,'[1]LMP IN MST'!$Z3="ST",'[1]LMP IN MST'!$AA3="NORM",OR('[1]LMP IN MST'!$AB3="MAR",'[1]LMP IN MST'!$AB3="")),'[1]LMP IN PPT'!Y5,IF(AND('[1]LMP IN PPT'!$A5='[1]LMP IN MST'!$A3,'[1]LMP IN MST'!$Z3="DST",'[1]LMP IN MST'!$AA3="FB",'[1]LMP IN MST'!$AB3="NOV"),'[1]LMP IN PPT'!Z5,IF(AND('[1]LMP IN PPT'!$A5='[1]LMP IN MST'!$A3,'[1]LMP IN MST'!$Z3="ST",'[1]LMP IN MST'!$AA3="NORM",'[1]LMP IN MST'!$AB3="NOV"),'[1]LMP IN PPT'!Z5,IF(AND('[1]LMP IN PPT'!$A5='[1]LMP IN MST'!$A3,'[1]LMP IN MST'!$Z3="DST",'[1]LMP IN MST'!$AA3="SF",'[1]LMP IN MST'!$AB3="MAR"),'[1]LMP IN PPT'!Z5,IF(AND('[1]LMP IN PPT'!$A5='[1]LMP IN MST'!$A3,'[1]LMP IN MST'!$Z3="DST",'[1]LMP IN MST'!$AA3="NORM",'[1]LMP IN MST'!$AB3="NOV"),'[1]LMP IN PPT'!AA5,IF(AND('[1]LMP IN PPT'!$A5='[1]LMP IN MST'!$A3,'[1]LMP IN MST'!$Z3="DST",'[1]LMP IN MST'!$AA3="NORM",OR('[1]LMP IN MST'!$AB3="MAR",'[1]LMP IN MST'!$AB3="")),'[1]LMP IN PPT'!Z5,0))))))</f>
        <v>41.185899999999997</v>
      </c>
      <c r="X3">
        <f>IF(AND('[1]LMP IN PPT'!$A5='[1]LMP IN MST'!$A3,'[1]LMP IN MST'!$Z3="ST",'[1]LMP IN MST'!$AA3="NORM",OR('[1]LMP IN MST'!$AB3="MAR",'[1]LMP IN MST'!$AB3="")),'[1]LMP IN PPT'!Z5,IF(AND('[1]LMP IN PPT'!$A5='[1]LMP IN MST'!$A3,'[1]LMP IN MST'!$Z3="DST",'[1]LMP IN MST'!$AA3="FB",'[1]LMP IN MST'!$AB3="NOV"),'[1]LMP IN PPT'!AA5,IF(AND('[1]LMP IN PPT'!$A5='[1]LMP IN MST'!$A3,'[1]LMP IN MST'!$Z3="ST",'[1]LMP IN MST'!$AA3="NORM",'[1]LMP IN MST'!$AB3="NOV"),'[1]LMP IN PPT'!AA5,IF(AND('[1]LMP IN PPT'!$A5='[1]LMP IN MST'!$A3,'[1]LMP IN MST'!$Z3="DST",'[1]LMP IN MST'!$AA3="SF",'[1]LMP IN MST'!$AB3="MAR"),'[1]LMP IN PPT'!AA5,IF(AND('[1]LMP IN PPT'!$A5='[1]LMP IN MST'!$A3,'[1]LMP IN MST'!$Z3="DST",'[1]LMP IN MST'!$AA3="NORM",'[1]LMP IN MST'!$AB3="NOV"),'[1]LMP IN PPT'!AB5,IF(AND('[1]LMP IN PPT'!$A5='[1]LMP IN MST'!$A3,'[1]LMP IN MST'!$Z3="DST",'[1]LMP IN MST'!$AA3="NORM",OR('[1]LMP IN MST'!$AB3="MAR",'[1]LMP IN MST'!$AB3="")),'[1]LMP IN PPT'!AA5,0))))))</f>
        <v>40.956249999999997</v>
      </c>
      <c r="Y3">
        <f>IF(AND('[1]LMP IN PPT'!$A5='[1]LMP IN MST'!$A3,'[1]LMP IN MST'!$Z3="ST",'[1]LMP IN MST'!$AA3="NORM",OR('[1]LMP IN MST'!$AB3="MAR",'[1]LMP IN MST'!$AB3="")),'[1]LMP IN PPT'!AA5,IF(AND('[1]LMP IN PPT'!$A5='[1]LMP IN MST'!$A3,'[1]LMP IN MST'!$Z3="DST",'[1]LMP IN MST'!$AA3="FB",'[1]LMP IN MST'!$AB3="NOV"),'[1]LMP IN PPT'!AB5,IF(AND('[1]LMP IN PPT'!$A5='[1]LMP IN MST'!$A3,'[1]LMP IN MST'!$Z3="ST",'[1]LMP IN MST'!$AA3="NORM",'[1]LMP IN MST'!$AB3="NOV"),'[1]LMP IN PPT'!AB5,IF(AND('[1]LMP IN PPT'!$A5='[1]LMP IN MST'!$A3,'[1]LMP IN MST'!$Z3="DST",'[1]LMP IN MST'!$AA3="SF",'[1]LMP IN MST'!$AB3="MAR"),'[1]LMP IN PPT'!AB5,IF(AND('[1]LMP IN PPT'!$A5='[1]LMP IN MST'!$A3,'[1]LMP IN MST'!$Z3="DST",'[1]LMP IN MST'!$AA3="NORM",'[1]LMP IN MST'!$AB3="NOV"),'[1]LMP IN PPT'!AC5,IF(AND('[1]LMP IN PPT'!$A5='[1]LMP IN MST'!$A3,'[1]LMP IN MST'!$Z3="DST",'[1]LMP IN MST'!$AA3="NORM",OR('[1]LMP IN MST'!$AB3="MAR",'[1]LMP IN MST'!$AB3="")),'[1]LMP IN PPT'!AB5,0))))))</f>
        <v>38.114199999999997</v>
      </c>
    </row>
    <row r="4" spans="1:25" x14ac:dyDescent="0.3">
      <c r="A4" s="1">
        <f t="shared" ref="A4:A32" si="0">A3+1</f>
        <v>45354</v>
      </c>
      <c r="B4">
        <f>IF(AND('[1]LMP IN PPT'!$A6='[1]LMP IN MST'!$A4,'[1]LMP IN MST'!$Z4="ST",'[1]LMP IN MST'!$AA4="NORM",'[1]LMP IN MST'!$AB4="NOV"),'[1]LMP IN PPT'!AC5,IF(AND('[1]LMP IN PPT'!$A6='[1]LMP IN MST'!$A4,'[1]LMP IN MST'!$Z4="ST",'[1]LMP IN MST'!$AA4="NORM",'[1]LMP IN MST'!$AB4="MAR"),'[1]LMP IN PPT'!AB5,IF(AND('[1]LMP IN PPT'!$A6='[1]LMP IN MST'!$A4,'[1]LMP IN MST'!$Z4="ST",'[1]LMP IN MST'!$AA4="NORM",'[1]LMP IN MST'!$AB4=""),'[1]LMP IN PPT'!AB5,IF(AND('[1]LMP IN PPT'!$A6='[1]LMP IN MST'!$A4,'[1]LMP IN MST'!$Z4="DST",'[1]LMP IN MST'!$AA4="FB",'[1]LMP IN MST'!$AB4="NOV"),'[1]LMP IN PPT'!E6,IF(AND('[1]LMP IN PPT'!$A6='[1]LMP IN MST'!$A4,'[1]LMP IN MST'!$Z4="DST",'[1]LMP IN MST'!$AA4="SF",'[1]LMP IN MST'!$AB4="MAR"),'[1]LMP IN PPT'!AB5,IF(AND('[1]LMP IN PPT'!$A6='[1]LMP IN MST'!$A4,'[1]LMP IN MST'!$Z4="DST",'[1]LMP IN MST'!$AA4="NORM",OR('[1]LMP IN MST'!$AB4="MAR",'[1]LMP IN MST'!$AB4="",'[1]LMP IN MST'!$AB4="NOV")),'[1]LMP IN PPT'!E6,0))))))</f>
        <v>36.913440000000001</v>
      </c>
      <c r="C4">
        <f>IF(AND('[1]LMP IN PPT'!$A6='[1]LMP IN MST'!$A4,'[1]LMP IN MST'!$Z4="ST",'[1]LMP IN MST'!$AA4="NORM",OR('[1]LMP IN MST'!$AB4="NOV",'[1]LMP IN MST'!$AB4="MAR",'[1]LMP IN MST'!$AB4="")),'[1]LMP IN PPT'!E6,IF(AND('[1]LMP IN PPT'!$A6='[1]LMP IN MST'!$A4,'[1]LMP IN MST'!$Z4="DST",'[1]LMP IN MST'!$AA4="FB",'[1]LMP IN MST'!$AB4="NOV"),'[1]LMP IN PPT'!F6,IF(AND('[1]LMP IN PPT'!$A6='[1]LMP IN MST'!$A4,'[1]LMP IN MST'!$Z4="DST",'[1]LMP IN MST'!$AA4="SF",'[1]LMP IN MST'!$AB4="MAR"),'[1]LMP IN PPT'!E6,IF(AND('[1]LMP IN PPT'!$A6='[1]LMP IN MST'!$A4,'[1]LMP IN MST'!$Z4="DST",'[1]LMP IN MST'!$AA4="NORM",OR('[1]LMP IN MST'!$AB4="MAR",'[1]LMP IN MST'!$AB4="",'[1]LMP IN MST'!$AB4="NOV")),'[1]LMP IN PPT'!F6,0))))</f>
        <v>36.947760000000002</v>
      </c>
      <c r="D4">
        <f>IF(AND('[1]LMP IN PPT'!$A6='[1]LMP IN MST'!$A4,'[1]LMP IN MST'!$Z4="ST",'[1]LMP IN MST'!$AA4="NORM",OR('[1]LMP IN MST'!$AB4="NOV",'[1]LMP IN MST'!$AB4="MAR",'[1]LMP IN MST'!$AB4="")),'[1]LMP IN PPT'!F6,IF(AND('[1]LMP IN PPT'!$A6='[1]LMP IN MST'!$A4,'[1]LMP IN MST'!$Z4="DST",'[1]LMP IN MST'!$AA4="FB",'[1]LMP IN MST'!$AB4="NOV"),'[1]LMP IN PPT'!G6,IF(AND('[1]LMP IN PPT'!$A6='[1]LMP IN MST'!$A4,'[1]LMP IN MST'!$Z4="DST",'[1]LMP IN MST'!$AA4="SF",'[1]LMP IN MST'!$AB4="MAR"),'[1]LMP IN PPT'!F6,IF(AND('[1]LMP IN PPT'!$A6='[1]LMP IN MST'!$A4,'[1]LMP IN MST'!$Z4="DST",'[1]LMP IN MST'!$AA4="NORM",'[1]LMP IN MST'!$AB4="NOV"),'[1]LMP IN PPT'!H6,IF(AND('[1]LMP IN PPT'!$A6='[1]LMP IN MST'!$A4,'[1]LMP IN MST'!$Z4="DST",'[1]LMP IN MST'!$AA4="NORM",OR('[1]LMP IN MST'!$AB4="MAR",'[1]LMP IN MST'!$AB4="")),'[1]LMP IN PPT'!G6,0)))))</f>
        <v>32.849769999999999</v>
      </c>
      <c r="E4">
        <f>IF(AND('[1]LMP IN PPT'!$A6='[1]LMP IN MST'!$A4,'[1]LMP IN MST'!$Z4="ST",'[1]LMP IN MST'!$AA4="NORM",OR('[1]LMP IN MST'!$AB4="MAR",'[1]LMP IN MST'!$AB4="")),'[1]LMP IN PPT'!G6,IF(AND('[1]LMP IN PPT'!$A6='[1]LMP IN MST'!$A4,'[1]LMP IN MST'!$Z4="DST",'[1]LMP IN MST'!$AA4="FB",'[1]LMP IN MST'!$AB4="NOV"),'[1]LMP IN PPT'!H6,IF(AND('[1]LMP IN PPT'!$A6='[1]LMP IN MST'!$A4,'[1]LMP IN MST'!$Z4="ST",'[1]LMP IN MST'!$AA4="NORM",'[1]LMP IN MST'!$AB4="NOV"),'[1]LMP IN PPT'!H6,IF(AND('[1]LMP IN PPT'!$A6='[1]LMP IN MST'!$A4,'[1]LMP IN MST'!$Z4="DST",'[1]LMP IN MST'!$AA4="SF",'[1]LMP IN MST'!$AB4="MAR"),'[1]LMP IN PPT'!H6,IF(AND('[1]LMP IN PPT'!$A6='[1]LMP IN MST'!$A4,'[1]LMP IN MST'!$Z4="DST",'[1]LMP IN MST'!$AA4="NORM",'[1]LMP IN MST'!$AB4="NOV"),'[1]LMP IN PPT'!I6,IF(AND('[1]LMP IN PPT'!$A6='[1]LMP IN MST'!$A4,'[1]LMP IN MST'!$Z4="DST",'[1]LMP IN MST'!$AA4="NORM",OR('[1]LMP IN MST'!$AB4="MAR",'[1]LMP IN MST'!$AB4="")),'[1]LMP IN PPT'!H6,0))))))</f>
        <v>33.048549999999999</v>
      </c>
      <c r="F4">
        <f>IF(AND('[1]LMP IN PPT'!$A6='[1]LMP IN MST'!$A4,'[1]LMP IN MST'!$Z4="ST",'[1]LMP IN MST'!$AA4="NORM",OR('[1]LMP IN MST'!$AB4="MAR",'[1]LMP IN MST'!$AB4="")),'[1]LMP IN PPT'!H6,IF(AND('[1]LMP IN PPT'!$A6='[1]LMP IN MST'!$A4,'[1]LMP IN MST'!$Z4="DST",'[1]LMP IN MST'!$AA4="FB",'[1]LMP IN MST'!$AB4="NOV"),'[1]LMP IN PPT'!I6,IF(AND('[1]LMP IN PPT'!$A6='[1]LMP IN MST'!$A4,'[1]LMP IN MST'!$Z4="ST",'[1]LMP IN MST'!$AA4="NORM",'[1]LMP IN MST'!$AB4="NOV"),'[1]LMP IN PPT'!I6,IF(AND('[1]LMP IN PPT'!$A6='[1]LMP IN MST'!$A4,'[1]LMP IN MST'!$Z4="DST",'[1]LMP IN MST'!$AA4="SF",'[1]LMP IN MST'!$AB4="MAR"),'[1]LMP IN PPT'!I6,IF(AND('[1]LMP IN PPT'!$A6='[1]LMP IN MST'!$A4,'[1]LMP IN MST'!$Z4="DST",'[1]LMP IN MST'!$AA4="NORM",'[1]LMP IN MST'!$AB4="NOV"),'[1]LMP IN PPT'!J6,IF(AND('[1]LMP IN PPT'!$A6='[1]LMP IN MST'!$A4,'[1]LMP IN MST'!$Z4="DST",'[1]LMP IN MST'!$AA4="NORM",OR('[1]LMP IN MST'!$AB4="MAR",'[1]LMP IN MST'!$AB4="")),'[1]LMP IN PPT'!I6,0))))))</f>
        <v>33.159910000000004</v>
      </c>
      <c r="G4">
        <f>IF(AND('[1]LMP IN PPT'!$A6='[1]LMP IN MST'!$A4,'[1]LMP IN MST'!$Z4="ST",'[1]LMP IN MST'!$AA4="NORM",OR('[1]LMP IN MST'!$AB4="MAR",'[1]LMP IN MST'!$AB4="")),'[1]LMP IN PPT'!I6,IF(AND('[1]LMP IN PPT'!$A6='[1]LMP IN MST'!$A4,'[1]LMP IN MST'!$Z4="DST",'[1]LMP IN MST'!$AA4="FB",'[1]LMP IN MST'!$AB4="NOV"),'[1]LMP IN PPT'!J6,IF(AND('[1]LMP IN PPT'!$A6='[1]LMP IN MST'!$A4,'[1]LMP IN MST'!$Z4="ST",'[1]LMP IN MST'!$AA4="NORM",'[1]LMP IN MST'!$AB4="NOV"),'[1]LMP IN PPT'!J6,IF(AND('[1]LMP IN PPT'!$A6='[1]LMP IN MST'!$A4,'[1]LMP IN MST'!$Z4="DST",'[1]LMP IN MST'!$AA4="SF",'[1]LMP IN MST'!$AB4="MAR"),'[1]LMP IN PPT'!J6,IF(AND('[1]LMP IN PPT'!$A6='[1]LMP IN MST'!$A4,'[1]LMP IN MST'!$Z4="DST",'[1]LMP IN MST'!$AA4="NORM",'[1]LMP IN MST'!$AB4="NOV"),'[1]LMP IN PPT'!K6,IF(AND('[1]LMP IN PPT'!$A6='[1]LMP IN MST'!$A4,'[1]LMP IN MST'!$Z4="DST",'[1]LMP IN MST'!$AA4="NORM",OR('[1]LMP IN MST'!$AB4="MAR",'[1]LMP IN MST'!$AB4="")),'[1]LMP IN PPT'!J6,0))))))</f>
        <v>32.512250000000002</v>
      </c>
      <c r="H4">
        <f>IF(AND('[1]LMP IN PPT'!$A6='[1]LMP IN MST'!$A4,'[1]LMP IN MST'!$Z4="ST",'[1]LMP IN MST'!$AA4="NORM",OR('[1]LMP IN MST'!$AB4="MAR",'[1]LMP IN MST'!$AB4="")),'[1]LMP IN PPT'!J6,IF(AND('[1]LMP IN PPT'!$A6='[1]LMP IN MST'!$A4,'[1]LMP IN MST'!$Z4="DST",'[1]LMP IN MST'!$AA4="FB",'[1]LMP IN MST'!$AB4="NOV"),'[1]LMP IN PPT'!K6,IF(AND('[1]LMP IN PPT'!$A6='[1]LMP IN MST'!$A4,'[1]LMP IN MST'!$Z4="ST",'[1]LMP IN MST'!$AA4="NORM",'[1]LMP IN MST'!$AB4="NOV"),'[1]LMP IN PPT'!K6,IF(AND('[1]LMP IN PPT'!$A6='[1]LMP IN MST'!$A4,'[1]LMP IN MST'!$Z4="DST",'[1]LMP IN MST'!$AA4="SF",'[1]LMP IN MST'!$AB4="MAR"),'[1]LMP IN PPT'!K6,IF(AND('[1]LMP IN PPT'!$A6='[1]LMP IN MST'!$A4,'[1]LMP IN MST'!$Z4="DST",'[1]LMP IN MST'!$AA4="NORM",'[1]LMP IN MST'!$AB4="NOV"),'[1]LMP IN PPT'!L6,IF(AND('[1]LMP IN PPT'!$A6='[1]LMP IN MST'!$A4,'[1]LMP IN MST'!$Z4="DST",'[1]LMP IN MST'!$AA4="NORM",OR('[1]LMP IN MST'!$AB4="MAR",'[1]LMP IN MST'!$AB4="")),'[1]LMP IN PPT'!K6,0))))))</f>
        <v>32.7532</v>
      </c>
      <c r="I4">
        <f>IF(AND('[1]LMP IN PPT'!$A6='[1]LMP IN MST'!$A4,'[1]LMP IN MST'!$Z4="ST",'[1]LMP IN MST'!$AA4="NORM",OR('[1]LMP IN MST'!$AB4="MAR",'[1]LMP IN MST'!$AB4="")),'[1]LMP IN PPT'!K6,IF(AND('[1]LMP IN PPT'!$A6='[1]LMP IN MST'!$A4,'[1]LMP IN MST'!$Z4="DST",'[1]LMP IN MST'!$AA4="FB",'[1]LMP IN MST'!$AB4="NOV"),'[1]LMP IN PPT'!L6,IF(AND('[1]LMP IN PPT'!$A6='[1]LMP IN MST'!$A4,'[1]LMP IN MST'!$Z4="ST",'[1]LMP IN MST'!$AA4="NORM",'[1]LMP IN MST'!$AB4="NOV"),'[1]LMP IN PPT'!L6,IF(AND('[1]LMP IN PPT'!$A6='[1]LMP IN MST'!$A4,'[1]LMP IN MST'!$Z4="DST",'[1]LMP IN MST'!$AA4="SF",'[1]LMP IN MST'!$AB4="MAR"),'[1]LMP IN PPT'!L6,IF(AND('[1]LMP IN PPT'!$A6='[1]LMP IN MST'!$A4,'[1]LMP IN MST'!$Z4="DST",'[1]LMP IN MST'!$AA4="NORM",'[1]LMP IN MST'!$AB4="NOV"),'[1]LMP IN PPT'!M6,IF(AND('[1]LMP IN PPT'!$A6='[1]LMP IN MST'!$A4,'[1]LMP IN MST'!$Z4="DST",'[1]LMP IN MST'!$AA4="NORM",OR('[1]LMP IN MST'!$AB4="MAR",'[1]LMP IN MST'!$AB4="")),'[1]LMP IN PPT'!L6,0))))))</f>
        <v>32.197029999999998</v>
      </c>
      <c r="J4">
        <f>IF(AND('[1]LMP IN PPT'!$A6='[1]LMP IN MST'!$A4,'[1]LMP IN MST'!$Z4="ST",'[1]LMP IN MST'!$AA4="NORM",OR('[1]LMP IN MST'!$AB4="MAR",'[1]LMP IN MST'!$AB4="")),'[1]LMP IN PPT'!L6,IF(AND('[1]LMP IN PPT'!$A6='[1]LMP IN MST'!$A4,'[1]LMP IN MST'!$Z4="DST",'[1]LMP IN MST'!$AA4="FB",'[1]LMP IN MST'!$AB4="NOV"),'[1]LMP IN PPT'!M6,IF(AND('[1]LMP IN PPT'!$A6='[1]LMP IN MST'!$A4,'[1]LMP IN MST'!$Z4="ST",'[1]LMP IN MST'!$AA4="NORM",'[1]LMP IN MST'!$AB4="NOV"),'[1]LMP IN PPT'!M6,IF(AND('[1]LMP IN PPT'!$A6='[1]LMP IN MST'!$A4,'[1]LMP IN MST'!$Z4="DST",'[1]LMP IN MST'!$AA4="SF",'[1]LMP IN MST'!$AB4="MAR"),'[1]LMP IN PPT'!M6,IF(AND('[1]LMP IN PPT'!$A6='[1]LMP IN MST'!$A4,'[1]LMP IN MST'!$Z4="DST",'[1]LMP IN MST'!$AA4="NORM",'[1]LMP IN MST'!$AB4="NOV"),'[1]LMP IN PPT'!N6,IF(AND('[1]LMP IN PPT'!$A6='[1]LMP IN MST'!$A4,'[1]LMP IN MST'!$Z4="DST",'[1]LMP IN MST'!$AA4="NORM",OR('[1]LMP IN MST'!$AB4="MAR",'[1]LMP IN MST'!$AB4="")),'[1]LMP IN PPT'!M6,0))))))</f>
        <v>0.60765999999999998</v>
      </c>
      <c r="K4">
        <f>IF(AND('[1]LMP IN PPT'!$A6='[1]LMP IN MST'!$A4,'[1]LMP IN MST'!$Z4="ST",'[1]LMP IN MST'!$AA4="NORM",OR('[1]LMP IN MST'!$AB4="MAR",'[1]LMP IN MST'!$AB4="")),'[1]LMP IN PPT'!M6,IF(AND('[1]LMP IN PPT'!$A6='[1]LMP IN MST'!$A4,'[1]LMP IN MST'!$Z4="DST",'[1]LMP IN MST'!$AA4="FB",'[1]LMP IN MST'!$AB4="NOV"),'[1]LMP IN PPT'!N6,IF(AND('[1]LMP IN PPT'!$A6='[1]LMP IN MST'!$A4,'[1]LMP IN MST'!$Z4="ST",'[1]LMP IN MST'!$AA4="NORM",'[1]LMP IN MST'!$AB4="NOV"),'[1]LMP IN PPT'!N6,IF(AND('[1]LMP IN PPT'!$A6='[1]LMP IN MST'!$A4,'[1]LMP IN MST'!$Z4="DST",'[1]LMP IN MST'!$AA4="SF",'[1]LMP IN MST'!$AB4="MAR"),'[1]LMP IN PPT'!N6,IF(AND('[1]LMP IN PPT'!$A6='[1]LMP IN MST'!$A4,'[1]LMP IN MST'!$Z4="DST",'[1]LMP IN MST'!$AA4="NORM",'[1]LMP IN MST'!$AB4="NOV"),'[1]LMP IN PPT'!O6,IF(AND('[1]LMP IN PPT'!$A6='[1]LMP IN MST'!$A4,'[1]LMP IN MST'!$Z4="DST",'[1]LMP IN MST'!$AA4="NORM",OR('[1]LMP IN MST'!$AB4="MAR",'[1]LMP IN MST'!$AB4="")),'[1]LMP IN PPT'!N6,0))))))</f>
        <v>-26.298549999999999</v>
      </c>
      <c r="L4">
        <f>IF(AND('[1]LMP IN PPT'!$A6='[1]LMP IN MST'!$A4,'[1]LMP IN MST'!$Z4="ST",'[1]LMP IN MST'!$AA4="NORM",OR('[1]LMP IN MST'!$AB4="MAR",'[1]LMP IN MST'!$AB4="")),'[1]LMP IN PPT'!N6,IF(AND('[1]LMP IN PPT'!$A6='[1]LMP IN MST'!$A4,'[1]LMP IN MST'!$Z4="DST",'[1]LMP IN MST'!$AA4="FB",'[1]LMP IN MST'!$AB4="NOV"),'[1]LMP IN PPT'!O6,IF(AND('[1]LMP IN PPT'!$A6='[1]LMP IN MST'!$A4,'[1]LMP IN MST'!$Z4="ST",'[1]LMP IN MST'!$AA4="NORM",'[1]LMP IN MST'!$AB4="NOV"),'[1]LMP IN PPT'!O6,IF(AND('[1]LMP IN PPT'!$A6='[1]LMP IN MST'!$A4,'[1]LMP IN MST'!$Z4="DST",'[1]LMP IN MST'!$AA4="SF",'[1]LMP IN MST'!$AB4="MAR"),'[1]LMP IN PPT'!O6,IF(AND('[1]LMP IN PPT'!$A6='[1]LMP IN MST'!$A4,'[1]LMP IN MST'!$Z4="DST",'[1]LMP IN MST'!$AA4="NORM",'[1]LMP IN MST'!$AB4="NOV"),'[1]LMP IN PPT'!P6,IF(AND('[1]LMP IN PPT'!$A6='[1]LMP IN MST'!$A4,'[1]LMP IN MST'!$Z4="DST",'[1]LMP IN MST'!$AA4="NORM",OR('[1]LMP IN MST'!$AB4="MAR",'[1]LMP IN MST'!$AB4="")),'[1]LMP IN PPT'!O6,0))))))</f>
        <v>-41.120649999999998</v>
      </c>
      <c r="M4">
        <f>IF(AND('[1]LMP IN PPT'!$A6='[1]LMP IN MST'!$A4,'[1]LMP IN MST'!$Z4="ST",'[1]LMP IN MST'!$AA4="NORM",OR('[1]LMP IN MST'!$AB4="MAR",'[1]LMP IN MST'!$AB4="")),'[1]LMP IN PPT'!O6,IF(AND('[1]LMP IN PPT'!$A6='[1]LMP IN MST'!$A4,'[1]LMP IN MST'!$Z4="DST",'[1]LMP IN MST'!$AA4="FB",'[1]LMP IN MST'!$AB4="NOV"),'[1]LMP IN PPT'!P6,IF(AND('[1]LMP IN PPT'!$A6='[1]LMP IN MST'!$A4,'[1]LMP IN MST'!$Z4="ST",'[1]LMP IN MST'!$AA4="NORM",'[1]LMP IN MST'!$AB4="NOV"),'[1]LMP IN PPT'!P6,IF(AND('[1]LMP IN PPT'!$A6='[1]LMP IN MST'!$A4,'[1]LMP IN MST'!$Z4="DST",'[1]LMP IN MST'!$AA4="SF",'[1]LMP IN MST'!$AB4="MAR"),'[1]LMP IN PPT'!P6,IF(AND('[1]LMP IN PPT'!$A6='[1]LMP IN MST'!$A4,'[1]LMP IN MST'!$Z4="DST",'[1]LMP IN MST'!$AA4="NORM",'[1]LMP IN MST'!$AB4="NOV"),'[1]LMP IN PPT'!Q6,IF(AND('[1]LMP IN PPT'!$A6='[1]LMP IN MST'!$A4,'[1]LMP IN MST'!$Z4="DST",'[1]LMP IN MST'!$AA4="NORM",OR('[1]LMP IN MST'!$AB4="MAR",'[1]LMP IN MST'!$AB4="")),'[1]LMP IN PPT'!P6,0))))))</f>
        <v>-42.511369999999999</v>
      </c>
      <c r="N4">
        <f>IF(AND('[1]LMP IN PPT'!$A6='[1]LMP IN MST'!$A4,'[1]LMP IN MST'!$Z4="ST",'[1]LMP IN MST'!$AA4="NORM",OR('[1]LMP IN MST'!$AB4="MAR",'[1]LMP IN MST'!$AB4="")),'[1]LMP IN PPT'!P6,IF(AND('[1]LMP IN PPT'!$A6='[1]LMP IN MST'!$A4,'[1]LMP IN MST'!$Z4="DST",'[1]LMP IN MST'!$AA4="FB",'[1]LMP IN MST'!$AB4="NOV"),'[1]LMP IN PPT'!Q6,IF(AND('[1]LMP IN PPT'!$A6='[1]LMP IN MST'!$A4,'[1]LMP IN MST'!$Z4="ST",'[1]LMP IN MST'!$AA4="NORM",'[1]LMP IN MST'!$AB4="NOV"),'[1]LMP IN PPT'!Q6,IF(AND('[1]LMP IN PPT'!$A6='[1]LMP IN MST'!$A4,'[1]LMP IN MST'!$Z4="DST",'[1]LMP IN MST'!$AA4="SF",'[1]LMP IN MST'!$AB4="MAR"),'[1]LMP IN PPT'!Q6,IF(AND('[1]LMP IN PPT'!$A6='[1]LMP IN MST'!$A4,'[1]LMP IN MST'!$Z4="DST",'[1]LMP IN MST'!$AA4="NORM",'[1]LMP IN MST'!$AB4="NOV"),'[1]LMP IN PPT'!R6,IF(AND('[1]LMP IN PPT'!$A6='[1]LMP IN MST'!$A4,'[1]LMP IN MST'!$Z4="DST",'[1]LMP IN MST'!$AA4="NORM",OR('[1]LMP IN MST'!$AB4="MAR",'[1]LMP IN MST'!$AB4="")),'[1]LMP IN PPT'!Q6,0))))))</f>
        <v>-45.188339999999997</v>
      </c>
      <c r="O4">
        <f>IF(AND('[1]LMP IN PPT'!$A6='[1]LMP IN MST'!$A4,'[1]LMP IN MST'!$Z4="ST",'[1]LMP IN MST'!$AA4="NORM",OR('[1]LMP IN MST'!$AB4="MAR",'[1]LMP IN MST'!$AB4="")),'[1]LMP IN PPT'!Q6,IF(AND('[1]LMP IN PPT'!$A6='[1]LMP IN MST'!$A4,'[1]LMP IN MST'!$Z4="DST",'[1]LMP IN MST'!$AA4="FB",'[1]LMP IN MST'!$AB4="NOV"),'[1]LMP IN PPT'!R6,IF(AND('[1]LMP IN PPT'!$A6='[1]LMP IN MST'!$A4,'[1]LMP IN MST'!$Z4="ST",'[1]LMP IN MST'!$AA4="NORM",'[1]LMP IN MST'!$AB4="NOV"),'[1]LMP IN PPT'!R6,IF(AND('[1]LMP IN PPT'!$A6='[1]LMP IN MST'!$A4,'[1]LMP IN MST'!$Z4="DST",'[1]LMP IN MST'!$AA4="SF",'[1]LMP IN MST'!$AB4="MAR"),'[1]LMP IN PPT'!R6,IF(AND('[1]LMP IN PPT'!$A6='[1]LMP IN MST'!$A4,'[1]LMP IN MST'!$Z4="DST",'[1]LMP IN MST'!$AA4="NORM",'[1]LMP IN MST'!$AB4="NOV"),'[1]LMP IN PPT'!S6,IF(AND('[1]LMP IN PPT'!$A6='[1]LMP IN MST'!$A4,'[1]LMP IN MST'!$Z4="DST",'[1]LMP IN MST'!$AA4="NORM",OR('[1]LMP IN MST'!$AB4="MAR",'[1]LMP IN MST'!$AB4="")),'[1]LMP IN PPT'!R6,0))))))</f>
        <v>-45.333779999999997</v>
      </c>
      <c r="P4">
        <f>IF(AND('[1]LMP IN PPT'!$A6='[1]LMP IN MST'!$A4,'[1]LMP IN MST'!$Z4="ST",'[1]LMP IN MST'!$AA4="NORM",OR('[1]LMP IN MST'!$AB4="MAR",'[1]LMP IN MST'!$AB4="")),'[1]LMP IN PPT'!R6,IF(AND('[1]LMP IN PPT'!$A6='[1]LMP IN MST'!$A4,'[1]LMP IN MST'!$Z4="DST",'[1]LMP IN MST'!$AA4="FB",'[1]LMP IN MST'!$AB4="NOV"),'[1]LMP IN PPT'!S6,IF(AND('[1]LMP IN PPT'!$A6='[1]LMP IN MST'!$A4,'[1]LMP IN MST'!$Z4="ST",'[1]LMP IN MST'!$AA4="NORM",'[1]LMP IN MST'!$AB4="NOV"),'[1]LMP IN PPT'!S6,IF(AND('[1]LMP IN PPT'!$A6='[1]LMP IN MST'!$A4,'[1]LMP IN MST'!$Z4="DST",'[1]LMP IN MST'!$AA4="SF",'[1]LMP IN MST'!$AB4="MAR"),'[1]LMP IN PPT'!S6,IF(AND('[1]LMP IN PPT'!$A6='[1]LMP IN MST'!$A4,'[1]LMP IN MST'!$Z4="DST",'[1]LMP IN MST'!$AA4="NORM",'[1]LMP IN MST'!$AB4="NOV"),'[1]LMP IN PPT'!T6,IF(AND('[1]LMP IN PPT'!$A6='[1]LMP IN MST'!$A4,'[1]LMP IN MST'!$Z4="DST",'[1]LMP IN MST'!$AA4="NORM",OR('[1]LMP IN MST'!$AB4="MAR",'[1]LMP IN MST'!$AB4="")),'[1]LMP IN PPT'!S6,0))))))</f>
        <v>-44.088850000000001</v>
      </c>
      <c r="Q4">
        <f>IF(AND('[1]LMP IN PPT'!$A6='[1]LMP IN MST'!$A4,'[1]LMP IN MST'!$Z4="ST",'[1]LMP IN MST'!$AA4="NORM",OR('[1]LMP IN MST'!$AB4="MAR",'[1]LMP IN MST'!$AB4="")),'[1]LMP IN PPT'!S6,IF(AND('[1]LMP IN PPT'!$A6='[1]LMP IN MST'!$A4,'[1]LMP IN MST'!$Z4="DST",'[1]LMP IN MST'!$AA4="FB",'[1]LMP IN MST'!$AB4="NOV"),'[1]LMP IN PPT'!T6,IF(AND('[1]LMP IN PPT'!$A6='[1]LMP IN MST'!$A4,'[1]LMP IN MST'!$Z4="ST",'[1]LMP IN MST'!$AA4="NORM",'[1]LMP IN MST'!$AB4="NOV"),'[1]LMP IN PPT'!T6,IF(AND('[1]LMP IN PPT'!$A6='[1]LMP IN MST'!$A4,'[1]LMP IN MST'!$Z4="DST",'[1]LMP IN MST'!$AA4="SF",'[1]LMP IN MST'!$AB4="MAR"),'[1]LMP IN PPT'!T6,IF(AND('[1]LMP IN PPT'!$A6='[1]LMP IN MST'!$A4,'[1]LMP IN MST'!$Z4="DST",'[1]LMP IN MST'!$AA4="NORM",'[1]LMP IN MST'!$AB4="NOV"),'[1]LMP IN PPT'!U6,IF(AND('[1]LMP IN PPT'!$A6='[1]LMP IN MST'!$A4,'[1]LMP IN MST'!$Z4="DST",'[1]LMP IN MST'!$AA4="NORM",OR('[1]LMP IN MST'!$AB4="MAR",'[1]LMP IN MST'!$AB4="")),'[1]LMP IN PPT'!T6,0))))))</f>
        <v>-45.478610000000003</v>
      </c>
      <c r="R4">
        <f>IF(AND('[1]LMP IN PPT'!$A6='[1]LMP IN MST'!$A4,'[1]LMP IN MST'!$Z4="ST",'[1]LMP IN MST'!$AA4="NORM",OR('[1]LMP IN MST'!$AB4="MAR",'[1]LMP IN MST'!$AB4="")),'[1]LMP IN PPT'!T6,IF(AND('[1]LMP IN PPT'!$A6='[1]LMP IN MST'!$A4,'[1]LMP IN MST'!$Z4="DST",'[1]LMP IN MST'!$AA4="FB",'[1]LMP IN MST'!$AB4="NOV"),'[1]LMP IN PPT'!U6,IF(AND('[1]LMP IN PPT'!$A6='[1]LMP IN MST'!$A4,'[1]LMP IN MST'!$Z4="ST",'[1]LMP IN MST'!$AA4="NORM",'[1]LMP IN MST'!$AB4="NOV"),'[1]LMP IN PPT'!U6,IF(AND('[1]LMP IN PPT'!$A6='[1]LMP IN MST'!$A4,'[1]LMP IN MST'!$Z4="DST",'[1]LMP IN MST'!$AA4="SF",'[1]LMP IN MST'!$AB4="MAR"),'[1]LMP IN PPT'!U6,IF(AND('[1]LMP IN PPT'!$A6='[1]LMP IN MST'!$A4,'[1]LMP IN MST'!$Z4="DST",'[1]LMP IN MST'!$AA4="NORM",'[1]LMP IN MST'!$AB4="NOV"),'[1]LMP IN PPT'!V6,IF(AND('[1]LMP IN PPT'!$A6='[1]LMP IN MST'!$A4,'[1]LMP IN MST'!$Z4="DST",'[1]LMP IN MST'!$AA4="NORM",OR('[1]LMP IN MST'!$AB4="MAR",'[1]LMP IN MST'!$AB4="")),'[1]LMP IN PPT'!U6,0))))))</f>
        <v>-33.846829999999997</v>
      </c>
      <c r="S4">
        <f>IF(AND('[1]LMP IN PPT'!$A6='[1]LMP IN MST'!$A4,'[1]LMP IN MST'!$Z4="ST",'[1]LMP IN MST'!$AA4="NORM",OR('[1]LMP IN MST'!$AB4="MAR",'[1]LMP IN MST'!$AB4="")),'[1]LMP IN PPT'!U6,IF(AND('[1]LMP IN PPT'!$A6='[1]LMP IN MST'!$A4,'[1]LMP IN MST'!$Z4="DST",'[1]LMP IN MST'!$AA4="FB",'[1]LMP IN MST'!$AB4="NOV"),'[1]LMP IN PPT'!V6,IF(AND('[1]LMP IN PPT'!$A6='[1]LMP IN MST'!$A4,'[1]LMP IN MST'!$Z4="ST",'[1]LMP IN MST'!$AA4="NORM",'[1]LMP IN MST'!$AB4="NOV"),'[1]LMP IN PPT'!V6,IF(AND('[1]LMP IN PPT'!$A6='[1]LMP IN MST'!$A4,'[1]LMP IN MST'!$Z4="DST",'[1]LMP IN MST'!$AA4="SF",'[1]LMP IN MST'!$AB4="MAR"),'[1]LMP IN PPT'!V6,IF(AND('[1]LMP IN PPT'!$A6='[1]LMP IN MST'!$A4,'[1]LMP IN MST'!$Z4="DST",'[1]LMP IN MST'!$AA4="NORM",'[1]LMP IN MST'!$AB4="NOV"),'[1]LMP IN PPT'!W6,IF(AND('[1]LMP IN PPT'!$A6='[1]LMP IN MST'!$A4,'[1]LMP IN MST'!$Z4="DST",'[1]LMP IN MST'!$AA4="NORM",OR('[1]LMP IN MST'!$AB4="MAR",'[1]LMP IN MST'!$AB4="")),'[1]LMP IN PPT'!V6,0))))))</f>
        <v>1.33772</v>
      </c>
      <c r="T4">
        <f>IF(AND('[1]LMP IN PPT'!$A6='[1]LMP IN MST'!$A4,'[1]LMP IN MST'!$Z4="ST",'[1]LMP IN MST'!$AA4="NORM",OR('[1]LMP IN MST'!$AB4="MAR",'[1]LMP IN MST'!$AB4="")),'[1]LMP IN PPT'!V6,IF(AND('[1]LMP IN PPT'!$A6='[1]LMP IN MST'!$A4,'[1]LMP IN MST'!$Z4="DST",'[1]LMP IN MST'!$AA4="FB",'[1]LMP IN MST'!$AB4="NOV"),'[1]LMP IN PPT'!W6,IF(AND('[1]LMP IN PPT'!$A6='[1]LMP IN MST'!$A4,'[1]LMP IN MST'!$Z4="ST",'[1]LMP IN MST'!$AA4="NORM",'[1]LMP IN MST'!$AB4="NOV"),'[1]LMP IN PPT'!W6,IF(AND('[1]LMP IN PPT'!$A6='[1]LMP IN MST'!$A4,'[1]LMP IN MST'!$Z4="DST",'[1]LMP IN MST'!$AA4="SF",'[1]LMP IN MST'!$AB4="MAR"),'[1]LMP IN PPT'!W6,IF(AND('[1]LMP IN PPT'!$A6='[1]LMP IN MST'!$A4,'[1]LMP IN MST'!$Z4="DST",'[1]LMP IN MST'!$AA4="NORM",'[1]LMP IN MST'!$AB4="NOV"),'[1]LMP IN PPT'!X6,IF(AND('[1]LMP IN PPT'!$A6='[1]LMP IN MST'!$A4,'[1]LMP IN MST'!$Z4="DST",'[1]LMP IN MST'!$AA4="NORM",OR('[1]LMP IN MST'!$AB4="MAR",'[1]LMP IN MST'!$AB4="")),'[1]LMP IN PPT'!W6,0))))))</f>
        <v>40.68965</v>
      </c>
      <c r="U4">
        <f>IF(AND('[1]LMP IN PPT'!$A6='[1]LMP IN MST'!$A4,'[1]LMP IN MST'!$Z4="ST",'[1]LMP IN MST'!$AA4="NORM",OR('[1]LMP IN MST'!$AB4="MAR",'[1]LMP IN MST'!$AB4="")),'[1]LMP IN PPT'!W6,IF(AND('[1]LMP IN PPT'!$A6='[1]LMP IN MST'!$A4,'[1]LMP IN MST'!$Z4="DST",'[1]LMP IN MST'!$AA4="FB",'[1]LMP IN MST'!$AB4="NOV"),'[1]LMP IN PPT'!X6,IF(AND('[1]LMP IN PPT'!$A6='[1]LMP IN MST'!$A4,'[1]LMP IN MST'!$Z4="ST",'[1]LMP IN MST'!$AA4="NORM",'[1]LMP IN MST'!$AB4="NOV"),'[1]LMP IN PPT'!X6,IF(AND('[1]LMP IN PPT'!$A6='[1]LMP IN MST'!$A4,'[1]LMP IN MST'!$Z4="DST",'[1]LMP IN MST'!$AA4="SF",'[1]LMP IN MST'!$AB4="MAR"),'[1]LMP IN PPT'!X6,IF(AND('[1]LMP IN PPT'!$A6='[1]LMP IN MST'!$A4,'[1]LMP IN MST'!$Z4="DST",'[1]LMP IN MST'!$AA4="NORM",'[1]LMP IN MST'!$AB4="NOV"),'[1]LMP IN PPT'!Y6,IF(AND('[1]LMP IN PPT'!$A6='[1]LMP IN MST'!$A4,'[1]LMP IN MST'!$Z4="DST",'[1]LMP IN MST'!$AA4="NORM",OR('[1]LMP IN MST'!$AB4="MAR",'[1]LMP IN MST'!$AB4="")),'[1]LMP IN PPT'!X6,0))))))</f>
        <v>45.191670000000002</v>
      </c>
      <c r="V4">
        <f>IF(AND('[1]LMP IN PPT'!$A6='[1]LMP IN MST'!$A4,'[1]LMP IN MST'!$Z4="ST",'[1]LMP IN MST'!$AA4="NORM",OR('[1]LMP IN MST'!$AB4="MAR",'[1]LMP IN MST'!$AB4="")),'[1]LMP IN PPT'!X6,IF(AND('[1]LMP IN PPT'!$A6='[1]LMP IN MST'!$A4,'[1]LMP IN MST'!$Z4="DST",'[1]LMP IN MST'!$AA4="FB",'[1]LMP IN MST'!$AB4="NOV"),'[1]LMP IN PPT'!Y6,IF(AND('[1]LMP IN PPT'!$A6='[1]LMP IN MST'!$A4,'[1]LMP IN MST'!$Z4="ST",'[1]LMP IN MST'!$AA4="NORM",'[1]LMP IN MST'!$AB4="NOV"),'[1]LMP IN PPT'!Y6,IF(AND('[1]LMP IN PPT'!$A6='[1]LMP IN MST'!$A4,'[1]LMP IN MST'!$Z4="DST",'[1]LMP IN MST'!$AA4="SF",'[1]LMP IN MST'!$AB4="MAR"),'[1]LMP IN PPT'!Y6,IF(AND('[1]LMP IN PPT'!$A6='[1]LMP IN MST'!$A4,'[1]LMP IN MST'!$Z4="DST",'[1]LMP IN MST'!$AA4="NORM",'[1]LMP IN MST'!$AB4="NOV"),'[1]LMP IN PPT'!Z6,IF(AND('[1]LMP IN PPT'!$A6='[1]LMP IN MST'!$A4,'[1]LMP IN MST'!$Z4="DST",'[1]LMP IN MST'!$AA4="NORM",OR('[1]LMP IN MST'!$AB4="MAR",'[1]LMP IN MST'!$AB4="")),'[1]LMP IN PPT'!Y6,0))))))</f>
        <v>41.69115</v>
      </c>
      <c r="W4">
        <f>IF(AND('[1]LMP IN PPT'!$A6='[1]LMP IN MST'!$A4,'[1]LMP IN MST'!$Z4="ST",'[1]LMP IN MST'!$AA4="NORM",OR('[1]LMP IN MST'!$AB4="MAR",'[1]LMP IN MST'!$AB4="")),'[1]LMP IN PPT'!Y6,IF(AND('[1]LMP IN PPT'!$A6='[1]LMP IN MST'!$A4,'[1]LMP IN MST'!$Z4="DST",'[1]LMP IN MST'!$AA4="FB",'[1]LMP IN MST'!$AB4="NOV"),'[1]LMP IN PPT'!Z6,IF(AND('[1]LMP IN PPT'!$A6='[1]LMP IN MST'!$A4,'[1]LMP IN MST'!$Z4="ST",'[1]LMP IN MST'!$AA4="NORM",'[1]LMP IN MST'!$AB4="NOV"),'[1]LMP IN PPT'!Z6,IF(AND('[1]LMP IN PPT'!$A6='[1]LMP IN MST'!$A4,'[1]LMP IN MST'!$Z4="DST",'[1]LMP IN MST'!$AA4="SF",'[1]LMP IN MST'!$AB4="MAR"),'[1]LMP IN PPT'!Z6,IF(AND('[1]LMP IN PPT'!$A6='[1]LMP IN MST'!$A4,'[1]LMP IN MST'!$Z4="DST",'[1]LMP IN MST'!$AA4="NORM",'[1]LMP IN MST'!$AB4="NOV"),'[1]LMP IN PPT'!AA6,IF(AND('[1]LMP IN PPT'!$A6='[1]LMP IN MST'!$A4,'[1]LMP IN MST'!$Z4="DST",'[1]LMP IN MST'!$AA4="NORM",OR('[1]LMP IN MST'!$AB4="MAR",'[1]LMP IN MST'!$AB4="")),'[1]LMP IN PPT'!Z6,0))))))</f>
        <v>41.080979999999997</v>
      </c>
      <c r="X4">
        <f>IF(AND('[1]LMP IN PPT'!$A6='[1]LMP IN MST'!$A4,'[1]LMP IN MST'!$Z4="ST",'[1]LMP IN MST'!$AA4="NORM",OR('[1]LMP IN MST'!$AB4="MAR",'[1]LMP IN MST'!$AB4="")),'[1]LMP IN PPT'!Z6,IF(AND('[1]LMP IN PPT'!$A6='[1]LMP IN MST'!$A4,'[1]LMP IN MST'!$Z4="DST",'[1]LMP IN MST'!$AA4="FB",'[1]LMP IN MST'!$AB4="NOV"),'[1]LMP IN PPT'!AA6,IF(AND('[1]LMP IN PPT'!$A6='[1]LMP IN MST'!$A4,'[1]LMP IN MST'!$Z4="ST",'[1]LMP IN MST'!$AA4="NORM",'[1]LMP IN MST'!$AB4="NOV"),'[1]LMP IN PPT'!AA6,IF(AND('[1]LMP IN PPT'!$A6='[1]LMP IN MST'!$A4,'[1]LMP IN MST'!$Z4="DST",'[1]LMP IN MST'!$AA4="SF",'[1]LMP IN MST'!$AB4="MAR"),'[1]LMP IN PPT'!AA6,IF(AND('[1]LMP IN PPT'!$A6='[1]LMP IN MST'!$A4,'[1]LMP IN MST'!$Z4="DST",'[1]LMP IN MST'!$AA4="NORM",'[1]LMP IN MST'!$AB4="NOV"),'[1]LMP IN PPT'!AB6,IF(AND('[1]LMP IN PPT'!$A6='[1]LMP IN MST'!$A4,'[1]LMP IN MST'!$Z4="DST",'[1]LMP IN MST'!$AA4="NORM",OR('[1]LMP IN MST'!$AB4="MAR",'[1]LMP IN MST'!$AB4="")),'[1]LMP IN PPT'!AA6,0))))))</f>
        <v>40.90934</v>
      </c>
      <c r="Y4">
        <f>IF(AND('[1]LMP IN PPT'!$A6='[1]LMP IN MST'!$A4,'[1]LMP IN MST'!$Z4="ST",'[1]LMP IN MST'!$AA4="NORM",OR('[1]LMP IN MST'!$AB4="MAR",'[1]LMP IN MST'!$AB4="")),'[1]LMP IN PPT'!AA6,IF(AND('[1]LMP IN PPT'!$A6='[1]LMP IN MST'!$A4,'[1]LMP IN MST'!$Z4="DST",'[1]LMP IN MST'!$AA4="FB",'[1]LMP IN MST'!$AB4="NOV"),'[1]LMP IN PPT'!AB6,IF(AND('[1]LMP IN PPT'!$A6='[1]LMP IN MST'!$A4,'[1]LMP IN MST'!$Z4="ST",'[1]LMP IN MST'!$AA4="NORM",'[1]LMP IN MST'!$AB4="NOV"),'[1]LMP IN PPT'!AB6,IF(AND('[1]LMP IN PPT'!$A6='[1]LMP IN MST'!$A4,'[1]LMP IN MST'!$Z4="DST",'[1]LMP IN MST'!$AA4="SF",'[1]LMP IN MST'!$AB4="MAR"),'[1]LMP IN PPT'!AB6,IF(AND('[1]LMP IN PPT'!$A6='[1]LMP IN MST'!$A4,'[1]LMP IN MST'!$Z4="DST",'[1]LMP IN MST'!$AA4="NORM",'[1]LMP IN MST'!$AB4="NOV"),'[1]LMP IN PPT'!AC6,IF(AND('[1]LMP IN PPT'!$A6='[1]LMP IN MST'!$A4,'[1]LMP IN MST'!$Z4="DST",'[1]LMP IN MST'!$AA4="NORM",OR('[1]LMP IN MST'!$AB4="MAR",'[1]LMP IN MST'!$AB4="")),'[1]LMP IN PPT'!AB6,0))))))</f>
        <v>40.002549999999999</v>
      </c>
    </row>
    <row r="5" spans="1:25" x14ac:dyDescent="0.3">
      <c r="A5" s="1">
        <f t="shared" si="0"/>
        <v>45355</v>
      </c>
      <c r="B5">
        <f>IF(AND('[1]LMP IN PPT'!$A7='[1]LMP IN MST'!$A5,'[1]LMP IN MST'!$Z5="ST",'[1]LMP IN MST'!$AA5="NORM",'[1]LMP IN MST'!$AB5="NOV"),'[1]LMP IN PPT'!AC6,IF(AND('[1]LMP IN PPT'!$A7='[1]LMP IN MST'!$A5,'[1]LMP IN MST'!$Z5="ST",'[1]LMP IN MST'!$AA5="NORM",'[1]LMP IN MST'!$AB5="MAR"),'[1]LMP IN PPT'!AB6,IF(AND('[1]LMP IN PPT'!$A7='[1]LMP IN MST'!$A5,'[1]LMP IN MST'!$Z5="ST",'[1]LMP IN MST'!$AA5="NORM",'[1]LMP IN MST'!$AB5=""),'[1]LMP IN PPT'!AB6,IF(AND('[1]LMP IN PPT'!$A7='[1]LMP IN MST'!$A5,'[1]LMP IN MST'!$Z5="DST",'[1]LMP IN MST'!$AA5="FB",'[1]LMP IN MST'!$AB5="NOV"),'[1]LMP IN PPT'!E7,IF(AND('[1]LMP IN PPT'!$A7='[1]LMP IN MST'!$A5,'[1]LMP IN MST'!$Z5="DST",'[1]LMP IN MST'!$AA5="SF",'[1]LMP IN MST'!$AB5="MAR"),'[1]LMP IN PPT'!AB6,IF(AND('[1]LMP IN PPT'!$A7='[1]LMP IN MST'!$A5,'[1]LMP IN MST'!$Z5="DST",'[1]LMP IN MST'!$AA5="NORM",OR('[1]LMP IN MST'!$AB5="MAR",'[1]LMP IN MST'!$AB5="",'[1]LMP IN MST'!$AB5="NOV")),'[1]LMP IN PPT'!E7,0))))))</f>
        <v>39.138840000000002</v>
      </c>
      <c r="C5">
        <f>IF(AND('[1]LMP IN PPT'!$A7='[1]LMP IN MST'!$A5,'[1]LMP IN MST'!$Z5="ST",'[1]LMP IN MST'!$AA5="NORM",OR('[1]LMP IN MST'!$AB5="NOV",'[1]LMP IN MST'!$AB5="MAR",'[1]LMP IN MST'!$AB5="")),'[1]LMP IN PPT'!E7,IF(AND('[1]LMP IN PPT'!$A7='[1]LMP IN MST'!$A5,'[1]LMP IN MST'!$Z5="DST",'[1]LMP IN MST'!$AA5="FB",'[1]LMP IN MST'!$AB5="NOV"),'[1]LMP IN PPT'!F7,IF(AND('[1]LMP IN PPT'!$A7='[1]LMP IN MST'!$A5,'[1]LMP IN MST'!$Z5="DST",'[1]LMP IN MST'!$AA5="SF",'[1]LMP IN MST'!$AB5="MAR"),'[1]LMP IN PPT'!E7,IF(AND('[1]LMP IN PPT'!$A7='[1]LMP IN MST'!$A5,'[1]LMP IN MST'!$Z5="DST",'[1]LMP IN MST'!$AA5="NORM",OR('[1]LMP IN MST'!$AB5="MAR",'[1]LMP IN MST'!$AB5="",'[1]LMP IN MST'!$AB5="NOV")),'[1]LMP IN PPT'!F7,0))))</f>
        <v>38.05142</v>
      </c>
      <c r="D5">
        <f>IF(AND('[1]LMP IN PPT'!$A7='[1]LMP IN MST'!$A5,'[1]LMP IN MST'!$Z5="ST",'[1]LMP IN MST'!$AA5="NORM",OR('[1]LMP IN MST'!$AB5="NOV",'[1]LMP IN MST'!$AB5="MAR",'[1]LMP IN MST'!$AB5="")),'[1]LMP IN PPT'!F7,IF(AND('[1]LMP IN PPT'!$A7='[1]LMP IN MST'!$A5,'[1]LMP IN MST'!$Z5="DST",'[1]LMP IN MST'!$AA5="FB",'[1]LMP IN MST'!$AB5="NOV"),'[1]LMP IN PPT'!G7,IF(AND('[1]LMP IN PPT'!$A7='[1]LMP IN MST'!$A5,'[1]LMP IN MST'!$Z5="DST",'[1]LMP IN MST'!$AA5="SF",'[1]LMP IN MST'!$AB5="MAR"),'[1]LMP IN PPT'!F7,IF(AND('[1]LMP IN PPT'!$A7='[1]LMP IN MST'!$A5,'[1]LMP IN MST'!$Z5="DST",'[1]LMP IN MST'!$AA5="NORM",'[1]LMP IN MST'!$AB5="NOV"),'[1]LMP IN PPT'!H7,IF(AND('[1]LMP IN PPT'!$A7='[1]LMP IN MST'!$A5,'[1]LMP IN MST'!$Z5="DST",'[1]LMP IN MST'!$AA5="NORM",OR('[1]LMP IN MST'!$AB5="MAR",'[1]LMP IN MST'!$AB5="")),'[1]LMP IN PPT'!G7,0)))))</f>
        <v>37.485619999999997</v>
      </c>
      <c r="E5">
        <f>IF(AND('[1]LMP IN PPT'!$A7='[1]LMP IN MST'!$A5,'[1]LMP IN MST'!$Z5="ST",'[1]LMP IN MST'!$AA5="NORM",OR('[1]LMP IN MST'!$AB5="MAR",'[1]LMP IN MST'!$AB5="")),'[1]LMP IN PPT'!G7,IF(AND('[1]LMP IN PPT'!$A7='[1]LMP IN MST'!$A5,'[1]LMP IN MST'!$Z5="DST",'[1]LMP IN MST'!$AA5="FB",'[1]LMP IN MST'!$AB5="NOV"),'[1]LMP IN PPT'!H7,IF(AND('[1]LMP IN PPT'!$A7='[1]LMP IN MST'!$A5,'[1]LMP IN MST'!$Z5="ST",'[1]LMP IN MST'!$AA5="NORM",'[1]LMP IN MST'!$AB5="NOV"),'[1]LMP IN PPT'!H7,IF(AND('[1]LMP IN PPT'!$A7='[1]LMP IN MST'!$A5,'[1]LMP IN MST'!$Z5="DST",'[1]LMP IN MST'!$AA5="SF",'[1]LMP IN MST'!$AB5="MAR"),'[1]LMP IN PPT'!H7,IF(AND('[1]LMP IN PPT'!$A7='[1]LMP IN MST'!$A5,'[1]LMP IN MST'!$Z5="DST",'[1]LMP IN MST'!$AA5="NORM",'[1]LMP IN MST'!$AB5="NOV"),'[1]LMP IN PPT'!I7,IF(AND('[1]LMP IN PPT'!$A7='[1]LMP IN MST'!$A5,'[1]LMP IN MST'!$Z5="DST",'[1]LMP IN MST'!$AA5="NORM",OR('[1]LMP IN MST'!$AB5="MAR",'[1]LMP IN MST'!$AB5="")),'[1]LMP IN PPT'!H7,0))))))</f>
        <v>38.186680000000003</v>
      </c>
      <c r="F5">
        <f>IF(AND('[1]LMP IN PPT'!$A7='[1]LMP IN MST'!$A5,'[1]LMP IN MST'!$Z5="ST",'[1]LMP IN MST'!$AA5="NORM",OR('[1]LMP IN MST'!$AB5="MAR",'[1]LMP IN MST'!$AB5="")),'[1]LMP IN PPT'!H7,IF(AND('[1]LMP IN PPT'!$A7='[1]LMP IN MST'!$A5,'[1]LMP IN MST'!$Z5="DST",'[1]LMP IN MST'!$AA5="FB",'[1]LMP IN MST'!$AB5="NOV"),'[1]LMP IN PPT'!I7,IF(AND('[1]LMP IN PPT'!$A7='[1]LMP IN MST'!$A5,'[1]LMP IN MST'!$Z5="ST",'[1]LMP IN MST'!$AA5="NORM",'[1]LMP IN MST'!$AB5="NOV"),'[1]LMP IN PPT'!I7,IF(AND('[1]LMP IN PPT'!$A7='[1]LMP IN MST'!$A5,'[1]LMP IN MST'!$Z5="DST",'[1]LMP IN MST'!$AA5="SF",'[1]LMP IN MST'!$AB5="MAR"),'[1]LMP IN PPT'!I7,IF(AND('[1]LMP IN PPT'!$A7='[1]LMP IN MST'!$A5,'[1]LMP IN MST'!$Z5="DST",'[1]LMP IN MST'!$AA5="NORM",'[1]LMP IN MST'!$AB5="NOV"),'[1]LMP IN PPT'!J7,IF(AND('[1]LMP IN PPT'!$A7='[1]LMP IN MST'!$A5,'[1]LMP IN MST'!$Z5="DST",'[1]LMP IN MST'!$AA5="NORM",OR('[1]LMP IN MST'!$AB5="MAR",'[1]LMP IN MST'!$AB5="")),'[1]LMP IN PPT'!I7,0))))))</f>
        <v>38.372489999999999</v>
      </c>
      <c r="G5">
        <f>IF(AND('[1]LMP IN PPT'!$A7='[1]LMP IN MST'!$A5,'[1]LMP IN MST'!$Z5="ST",'[1]LMP IN MST'!$AA5="NORM",OR('[1]LMP IN MST'!$AB5="MAR",'[1]LMP IN MST'!$AB5="")),'[1]LMP IN PPT'!I7,IF(AND('[1]LMP IN PPT'!$A7='[1]LMP IN MST'!$A5,'[1]LMP IN MST'!$Z5="DST",'[1]LMP IN MST'!$AA5="FB",'[1]LMP IN MST'!$AB5="NOV"),'[1]LMP IN PPT'!J7,IF(AND('[1]LMP IN PPT'!$A7='[1]LMP IN MST'!$A5,'[1]LMP IN MST'!$Z5="ST",'[1]LMP IN MST'!$AA5="NORM",'[1]LMP IN MST'!$AB5="NOV"),'[1]LMP IN PPT'!J7,IF(AND('[1]LMP IN PPT'!$A7='[1]LMP IN MST'!$A5,'[1]LMP IN MST'!$Z5="DST",'[1]LMP IN MST'!$AA5="SF",'[1]LMP IN MST'!$AB5="MAR"),'[1]LMP IN PPT'!J7,IF(AND('[1]LMP IN PPT'!$A7='[1]LMP IN MST'!$A5,'[1]LMP IN MST'!$Z5="DST",'[1]LMP IN MST'!$AA5="NORM",'[1]LMP IN MST'!$AB5="NOV"),'[1]LMP IN PPT'!K7,IF(AND('[1]LMP IN PPT'!$A7='[1]LMP IN MST'!$A5,'[1]LMP IN MST'!$Z5="DST",'[1]LMP IN MST'!$AA5="NORM",OR('[1]LMP IN MST'!$AB5="MAR",'[1]LMP IN MST'!$AB5="")),'[1]LMP IN PPT'!J7,0))))))</f>
        <v>38.293660000000003</v>
      </c>
      <c r="H5">
        <f>IF(AND('[1]LMP IN PPT'!$A7='[1]LMP IN MST'!$A5,'[1]LMP IN MST'!$Z5="ST",'[1]LMP IN MST'!$AA5="NORM",OR('[1]LMP IN MST'!$AB5="MAR",'[1]LMP IN MST'!$AB5="")),'[1]LMP IN PPT'!J7,IF(AND('[1]LMP IN PPT'!$A7='[1]LMP IN MST'!$A5,'[1]LMP IN MST'!$Z5="DST",'[1]LMP IN MST'!$AA5="FB",'[1]LMP IN MST'!$AB5="NOV"),'[1]LMP IN PPT'!K7,IF(AND('[1]LMP IN PPT'!$A7='[1]LMP IN MST'!$A5,'[1]LMP IN MST'!$Z5="ST",'[1]LMP IN MST'!$AA5="NORM",'[1]LMP IN MST'!$AB5="NOV"),'[1]LMP IN PPT'!K7,IF(AND('[1]LMP IN PPT'!$A7='[1]LMP IN MST'!$A5,'[1]LMP IN MST'!$Z5="DST",'[1]LMP IN MST'!$AA5="SF",'[1]LMP IN MST'!$AB5="MAR"),'[1]LMP IN PPT'!K7,IF(AND('[1]LMP IN PPT'!$A7='[1]LMP IN MST'!$A5,'[1]LMP IN MST'!$Z5="DST",'[1]LMP IN MST'!$AA5="NORM",'[1]LMP IN MST'!$AB5="NOV"),'[1]LMP IN PPT'!L7,IF(AND('[1]LMP IN PPT'!$A7='[1]LMP IN MST'!$A5,'[1]LMP IN MST'!$Z5="DST",'[1]LMP IN MST'!$AA5="NORM",OR('[1]LMP IN MST'!$AB5="MAR",'[1]LMP IN MST'!$AB5="")),'[1]LMP IN PPT'!K7,0))))))</f>
        <v>42.908439999999999</v>
      </c>
      <c r="I5">
        <f>IF(AND('[1]LMP IN PPT'!$A7='[1]LMP IN MST'!$A5,'[1]LMP IN MST'!$Z5="ST",'[1]LMP IN MST'!$AA5="NORM",OR('[1]LMP IN MST'!$AB5="MAR",'[1]LMP IN MST'!$AB5="")),'[1]LMP IN PPT'!K7,IF(AND('[1]LMP IN PPT'!$A7='[1]LMP IN MST'!$A5,'[1]LMP IN MST'!$Z5="DST",'[1]LMP IN MST'!$AA5="FB",'[1]LMP IN MST'!$AB5="NOV"),'[1]LMP IN PPT'!L7,IF(AND('[1]LMP IN PPT'!$A7='[1]LMP IN MST'!$A5,'[1]LMP IN MST'!$Z5="ST",'[1]LMP IN MST'!$AA5="NORM",'[1]LMP IN MST'!$AB5="NOV"),'[1]LMP IN PPT'!L7,IF(AND('[1]LMP IN PPT'!$A7='[1]LMP IN MST'!$A5,'[1]LMP IN MST'!$Z5="DST",'[1]LMP IN MST'!$AA5="SF",'[1]LMP IN MST'!$AB5="MAR"),'[1]LMP IN PPT'!L7,IF(AND('[1]LMP IN PPT'!$A7='[1]LMP IN MST'!$A5,'[1]LMP IN MST'!$Z5="DST",'[1]LMP IN MST'!$AA5="NORM",'[1]LMP IN MST'!$AB5="NOV"),'[1]LMP IN PPT'!M7,IF(AND('[1]LMP IN PPT'!$A7='[1]LMP IN MST'!$A5,'[1]LMP IN MST'!$Z5="DST",'[1]LMP IN MST'!$AA5="NORM",OR('[1]LMP IN MST'!$AB5="MAR",'[1]LMP IN MST'!$AB5="")),'[1]LMP IN PPT'!L7,0))))))</f>
        <v>43.760080000000002</v>
      </c>
      <c r="J5">
        <f>IF(AND('[1]LMP IN PPT'!$A7='[1]LMP IN MST'!$A5,'[1]LMP IN MST'!$Z5="ST",'[1]LMP IN MST'!$AA5="NORM",OR('[1]LMP IN MST'!$AB5="MAR",'[1]LMP IN MST'!$AB5="")),'[1]LMP IN PPT'!L7,IF(AND('[1]LMP IN PPT'!$A7='[1]LMP IN MST'!$A5,'[1]LMP IN MST'!$Z5="DST",'[1]LMP IN MST'!$AA5="FB",'[1]LMP IN MST'!$AB5="NOV"),'[1]LMP IN PPT'!M7,IF(AND('[1]LMP IN PPT'!$A7='[1]LMP IN MST'!$A5,'[1]LMP IN MST'!$Z5="ST",'[1]LMP IN MST'!$AA5="NORM",'[1]LMP IN MST'!$AB5="NOV"),'[1]LMP IN PPT'!M7,IF(AND('[1]LMP IN PPT'!$A7='[1]LMP IN MST'!$A5,'[1]LMP IN MST'!$Z5="DST",'[1]LMP IN MST'!$AA5="SF",'[1]LMP IN MST'!$AB5="MAR"),'[1]LMP IN PPT'!M7,IF(AND('[1]LMP IN PPT'!$A7='[1]LMP IN MST'!$A5,'[1]LMP IN MST'!$Z5="DST",'[1]LMP IN MST'!$AA5="NORM",'[1]LMP IN MST'!$AB5="NOV"),'[1]LMP IN PPT'!N7,IF(AND('[1]LMP IN PPT'!$A7='[1]LMP IN MST'!$A5,'[1]LMP IN MST'!$Z5="DST",'[1]LMP IN MST'!$AA5="NORM",OR('[1]LMP IN MST'!$AB5="MAR",'[1]LMP IN MST'!$AB5="")),'[1]LMP IN PPT'!M7,0))))))</f>
        <v>21.461780000000001</v>
      </c>
      <c r="K5">
        <f>IF(AND('[1]LMP IN PPT'!$A7='[1]LMP IN MST'!$A5,'[1]LMP IN MST'!$Z5="ST",'[1]LMP IN MST'!$AA5="NORM",OR('[1]LMP IN MST'!$AB5="MAR",'[1]LMP IN MST'!$AB5="")),'[1]LMP IN PPT'!M7,IF(AND('[1]LMP IN PPT'!$A7='[1]LMP IN MST'!$A5,'[1]LMP IN MST'!$Z5="DST",'[1]LMP IN MST'!$AA5="FB",'[1]LMP IN MST'!$AB5="NOV"),'[1]LMP IN PPT'!N7,IF(AND('[1]LMP IN PPT'!$A7='[1]LMP IN MST'!$A5,'[1]LMP IN MST'!$Z5="ST",'[1]LMP IN MST'!$AA5="NORM",'[1]LMP IN MST'!$AB5="NOV"),'[1]LMP IN PPT'!N7,IF(AND('[1]LMP IN PPT'!$A7='[1]LMP IN MST'!$A5,'[1]LMP IN MST'!$Z5="DST",'[1]LMP IN MST'!$AA5="SF",'[1]LMP IN MST'!$AB5="MAR"),'[1]LMP IN PPT'!N7,IF(AND('[1]LMP IN PPT'!$A7='[1]LMP IN MST'!$A5,'[1]LMP IN MST'!$Z5="DST",'[1]LMP IN MST'!$AA5="NORM",'[1]LMP IN MST'!$AB5="NOV"),'[1]LMP IN PPT'!O7,IF(AND('[1]LMP IN PPT'!$A7='[1]LMP IN MST'!$A5,'[1]LMP IN MST'!$Z5="DST",'[1]LMP IN MST'!$AA5="NORM",OR('[1]LMP IN MST'!$AB5="MAR",'[1]LMP IN MST'!$AB5="")),'[1]LMP IN PPT'!N7,0))))))</f>
        <v>-14.79956</v>
      </c>
      <c r="L5">
        <f>IF(AND('[1]LMP IN PPT'!$A7='[1]LMP IN MST'!$A5,'[1]LMP IN MST'!$Z5="ST",'[1]LMP IN MST'!$AA5="NORM",OR('[1]LMP IN MST'!$AB5="MAR",'[1]LMP IN MST'!$AB5="")),'[1]LMP IN PPT'!N7,IF(AND('[1]LMP IN PPT'!$A7='[1]LMP IN MST'!$A5,'[1]LMP IN MST'!$Z5="DST",'[1]LMP IN MST'!$AA5="FB",'[1]LMP IN MST'!$AB5="NOV"),'[1]LMP IN PPT'!O7,IF(AND('[1]LMP IN PPT'!$A7='[1]LMP IN MST'!$A5,'[1]LMP IN MST'!$Z5="ST",'[1]LMP IN MST'!$AA5="NORM",'[1]LMP IN MST'!$AB5="NOV"),'[1]LMP IN PPT'!O7,IF(AND('[1]LMP IN PPT'!$A7='[1]LMP IN MST'!$A5,'[1]LMP IN MST'!$Z5="DST",'[1]LMP IN MST'!$AA5="SF",'[1]LMP IN MST'!$AB5="MAR"),'[1]LMP IN PPT'!O7,IF(AND('[1]LMP IN PPT'!$A7='[1]LMP IN MST'!$A5,'[1]LMP IN MST'!$Z5="DST",'[1]LMP IN MST'!$AA5="NORM",'[1]LMP IN MST'!$AB5="NOV"),'[1]LMP IN PPT'!P7,IF(AND('[1]LMP IN PPT'!$A7='[1]LMP IN MST'!$A5,'[1]LMP IN MST'!$Z5="DST",'[1]LMP IN MST'!$AA5="NORM",OR('[1]LMP IN MST'!$AB5="MAR",'[1]LMP IN MST'!$AB5="")),'[1]LMP IN PPT'!O7,0))))))</f>
        <v>-23.486840000000001</v>
      </c>
      <c r="M5">
        <f>IF(AND('[1]LMP IN PPT'!$A7='[1]LMP IN MST'!$A5,'[1]LMP IN MST'!$Z5="ST",'[1]LMP IN MST'!$AA5="NORM",OR('[1]LMP IN MST'!$AB5="MAR",'[1]LMP IN MST'!$AB5="")),'[1]LMP IN PPT'!O7,IF(AND('[1]LMP IN PPT'!$A7='[1]LMP IN MST'!$A5,'[1]LMP IN MST'!$Z5="DST",'[1]LMP IN MST'!$AA5="FB",'[1]LMP IN MST'!$AB5="NOV"),'[1]LMP IN PPT'!P7,IF(AND('[1]LMP IN PPT'!$A7='[1]LMP IN MST'!$A5,'[1]LMP IN MST'!$Z5="ST",'[1]LMP IN MST'!$AA5="NORM",'[1]LMP IN MST'!$AB5="NOV"),'[1]LMP IN PPT'!P7,IF(AND('[1]LMP IN PPT'!$A7='[1]LMP IN MST'!$A5,'[1]LMP IN MST'!$Z5="DST",'[1]LMP IN MST'!$AA5="SF",'[1]LMP IN MST'!$AB5="MAR"),'[1]LMP IN PPT'!P7,IF(AND('[1]LMP IN PPT'!$A7='[1]LMP IN MST'!$A5,'[1]LMP IN MST'!$Z5="DST",'[1]LMP IN MST'!$AA5="NORM",'[1]LMP IN MST'!$AB5="NOV"),'[1]LMP IN PPT'!Q7,IF(AND('[1]LMP IN PPT'!$A7='[1]LMP IN MST'!$A5,'[1]LMP IN MST'!$Z5="DST",'[1]LMP IN MST'!$AA5="NORM",OR('[1]LMP IN MST'!$AB5="MAR",'[1]LMP IN MST'!$AB5="")),'[1]LMP IN PPT'!P7,0))))))</f>
        <v>-24.752140000000001</v>
      </c>
      <c r="N5">
        <f>IF(AND('[1]LMP IN PPT'!$A7='[1]LMP IN MST'!$A5,'[1]LMP IN MST'!$Z5="ST",'[1]LMP IN MST'!$AA5="NORM",OR('[1]LMP IN MST'!$AB5="MAR",'[1]LMP IN MST'!$AB5="")),'[1]LMP IN PPT'!P7,IF(AND('[1]LMP IN PPT'!$A7='[1]LMP IN MST'!$A5,'[1]LMP IN MST'!$Z5="DST",'[1]LMP IN MST'!$AA5="FB",'[1]LMP IN MST'!$AB5="NOV"),'[1]LMP IN PPT'!Q7,IF(AND('[1]LMP IN PPT'!$A7='[1]LMP IN MST'!$A5,'[1]LMP IN MST'!$Z5="ST",'[1]LMP IN MST'!$AA5="NORM",'[1]LMP IN MST'!$AB5="NOV"),'[1]LMP IN PPT'!Q7,IF(AND('[1]LMP IN PPT'!$A7='[1]LMP IN MST'!$A5,'[1]LMP IN MST'!$Z5="DST",'[1]LMP IN MST'!$AA5="SF",'[1]LMP IN MST'!$AB5="MAR"),'[1]LMP IN PPT'!Q7,IF(AND('[1]LMP IN PPT'!$A7='[1]LMP IN MST'!$A5,'[1]LMP IN MST'!$Z5="DST",'[1]LMP IN MST'!$AA5="NORM",'[1]LMP IN MST'!$AB5="NOV"),'[1]LMP IN PPT'!R7,IF(AND('[1]LMP IN PPT'!$A7='[1]LMP IN MST'!$A5,'[1]LMP IN MST'!$Z5="DST",'[1]LMP IN MST'!$AA5="NORM",OR('[1]LMP IN MST'!$AB5="MAR",'[1]LMP IN MST'!$AB5="")),'[1]LMP IN PPT'!Q7,0))))))</f>
        <v>-24.821549999999998</v>
      </c>
      <c r="O5">
        <f>IF(AND('[1]LMP IN PPT'!$A7='[1]LMP IN MST'!$A5,'[1]LMP IN MST'!$Z5="ST",'[1]LMP IN MST'!$AA5="NORM",OR('[1]LMP IN MST'!$AB5="MAR",'[1]LMP IN MST'!$AB5="")),'[1]LMP IN PPT'!Q7,IF(AND('[1]LMP IN PPT'!$A7='[1]LMP IN MST'!$A5,'[1]LMP IN MST'!$Z5="DST",'[1]LMP IN MST'!$AA5="FB",'[1]LMP IN MST'!$AB5="NOV"),'[1]LMP IN PPT'!R7,IF(AND('[1]LMP IN PPT'!$A7='[1]LMP IN MST'!$A5,'[1]LMP IN MST'!$Z5="ST",'[1]LMP IN MST'!$AA5="NORM",'[1]LMP IN MST'!$AB5="NOV"),'[1]LMP IN PPT'!R7,IF(AND('[1]LMP IN PPT'!$A7='[1]LMP IN MST'!$A5,'[1]LMP IN MST'!$Z5="DST",'[1]LMP IN MST'!$AA5="SF",'[1]LMP IN MST'!$AB5="MAR"),'[1]LMP IN PPT'!R7,IF(AND('[1]LMP IN PPT'!$A7='[1]LMP IN MST'!$A5,'[1]LMP IN MST'!$Z5="DST",'[1]LMP IN MST'!$AA5="NORM",'[1]LMP IN MST'!$AB5="NOV"),'[1]LMP IN PPT'!S7,IF(AND('[1]LMP IN PPT'!$A7='[1]LMP IN MST'!$A5,'[1]LMP IN MST'!$Z5="DST",'[1]LMP IN MST'!$AA5="NORM",OR('[1]LMP IN MST'!$AB5="MAR",'[1]LMP IN MST'!$AB5="")),'[1]LMP IN PPT'!R7,0))))))</f>
        <v>-24.9604</v>
      </c>
      <c r="P5">
        <f>IF(AND('[1]LMP IN PPT'!$A7='[1]LMP IN MST'!$A5,'[1]LMP IN MST'!$Z5="ST",'[1]LMP IN MST'!$AA5="NORM",OR('[1]LMP IN MST'!$AB5="MAR",'[1]LMP IN MST'!$AB5="")),'[1]LMP IN PPT'!R7,IF(AND('[1]LMP IN PPT'!$A7='[1]LMP IN MST'!$A5,'[1]LMP IN MST'!$Z5="DST",'[1]LMP IN MST'!$AA5="FB",'[1]LMP IN MST'!$AB5="NOV"),'[1]LMP IN PPT'!S7,IF(AND('[1]LMP IN PPT'!$A7='[1]LMP IN MST'!$A5,'[1]LMP IN MST'!$Z5="ST",'[1]LMP IN MST'!$AA5="NORM",'[1]LMP IN MST'!$AB5="NOV"),'[1]LMP IN PPT'!S7,IF(AND('[1]LMP IN PPT'!$A7='[1]LMP IN MST'!$A5,'[1]LMP IN MST'!$Z5="DST",'[1]LMP IN MST'!$AA5="SF",'[1]LMP IN MST'!$AB5="MAR"),'[1]LMP IN PPT'!S7,IF(AND('[1]LMP IN PPT'!$A7='[1]LMP IN MST'!$A5,'[1]LMP IN MST'!$Z5="DST",'[1]LMP IN MST'!$AA5="NORM",'[1]LMP IN MST'!$AB5="NOV"),'[1]LMP IN PPT'!T7,IF(AND('[1]LMP IN PPT'!$A7='[1]LMP IN MST'!$A5,'[1]LMP IN MST'!$Z5="DST",'[1]LMP IN MST'!$AA5="NORM",OR('[1]LMP IN MST'!$AB5="MAR",'[1]LMP IN MST'!$AB5="")),'[1]LMP IN PPT'!S7,0))))))</f>
        <v>-24.092120000000001</v>
      </c>
      <c r="Q5">
        <f>IF(AND('[1]LMP IN PPT'!$A7='[1]LMP IN MST'!$A5,'[1]LMP IN MST'!$Z5="ST",'[1]LMP IN MST'!$AA5="NORM",OR('[1]LMP IN MST'!$AB5="MAR",'[1]LMP IN MST'!$AB5="")),'[1]LMP IN PPT'!S7,IF(AND('[1]LMP IN PPT'!$A7='[1]LMP IN MST'!$A5,'[1]LMP IN MST'!$Z5="DST",'[1]LMP IN MST'!$AA5="FB",'[1]LMP IN MST'!$AB5="NOV"),'[1]LMP IN PPT'!T7,IF(AND('[1]LMP IN PPT'!$A7='[1]LMP IN MST'!$A5,'[1]LMP IN MST'!$Z5="ST",'[1]LMP IN MST'!$AA5="NORM",'[1]LMP IN MST'!$AB5="NOV"),'[1]LMP IN PPT'!T7,IF(AND('[1]LMP IN PPT'!$A7='[1]LMP IN MST'!$A5,'[1]LMP IN MST'!$Z5="DST",'[1]LMP IN MST'!$AA5="SF",'[1]LMP IN MST'!$AB5="MAR"),'[1]LMP IN PPT'!T7,IF(AND('[1]LMP IN PPT'!$A7='[1]LMP IN MST'!$A5,'[1]LMP IN MST'!$Z5="DST",'[1]LMP IN MST'!$AA5="NORM",'[1]LMP IN MST'!$AB5="NOV"),'[1]LMP IN PPT'!U7,IF(AND('[1]LMP IN PPT'!$A7='[1]LMP IN MST'!$A5,'[1]LMP IN MST'!$Z5="DST",'[1]LMP IN MST'!$AA5="NORM",OR('[1]LMP IN MST'!$AB5="MAR",'[1]LMP IN MST'!$AB5="")),'[1]LMP IN PPT'!T7,0))))))</f>
        <v>-24.02628</v>
      </c>
      <c r="R5">
        <f>IF(AND('[1]LMP IN PPT'!$A7='[1]LMP IN MST'!$A5,'[1]LMP IN MST'!$Z5="ST",'[1]LMP IN MST'!$AA5="NORM",OR('[1]LMP IN MST'!$AB5="MAR",'[1]LMP IN MST'!$AB5="")),'[1]LMP IN PPT'!T7,IF(AND('[1]LMP IN PPT'!$A7='[1]LMP IN MST'!$A5,'[1]LMP IN MST'!$Z5="DST",'[1]LMP IN MST'!$AA5="FB",'[1]LMP IN MST'!$AB5="NOV"),'[1]LMP IN PPT'!U7,IF(AND('[1]LMP IN PPT'!$A7='[1]LMP IN MST'!$A5,'[1]LMP IN MST'!$Z5="ST",'[1]LMP IN MST'!$AA5="NORM",'[1]LMP IN MST'!$AB5="NOV"),'[1]LMP IN PPT'!U7,IF(AND('[1]LMP IN PPT'!$A7='[1]LMP IN MST'!$A5,'[1]LMP IN MST'!$Z5="DST",'[1]LMP IN MST'!$AA5="SF",'[1]LMP IN MST'!$AB5="MAR"),'[1]LMP IN PPT'!U7,IF(AND('[1]LMP IN PPT'!$A7='[1]LMP IN MST'!$A5,'[1]LMP IN MST'!$Z5="DST",'[1]LMP IN MST'!$AA5="NORM",'[1]LMP IN MST'!$AB5="NOV"),'[1]LMP IN PPT'!V7,IF(AND('[1]LMP IN PPT'!$A7='[1]LMP IN MST'!$A5,'[1]LMP IN MST'!$Z5="DST",'[1]LMP IN MST'!$AA5="NORM",OR('[1]LMP IN MST'!$AB5="MAR",'[1]LMP IN MST'!$AB5="")),'[1]LMP IN PPT'!U7,0))))))</f>
        <v>-15.823320000000001</v>
      </c>
      <c r="S5">
        <f>IF(AND('[1]LMP IN PPT'!$A7='[1]LMP IN MST'!$A5,'[1]LMP IN MST'!$Z5="ST",'[1]LMP IN MST'!$AA5="NORM",OR('[1]LMP IN MST'!$AB5="MAR",'[1]LMP IN MST'!$AB5="")),'[1]LMP IN PPT'!U7,IF(AND('[1]LMP IN PPT'!$A7='[1]LMP IN MST'!$A5,'[1]LMP IN MST'!$Z5="DST",'[1]LMP IN MST'!$AA5="FB",'[1]LMP IN MST'!$AB5="NOV"),'[1]LMP IN PPT'!V7,IF(AND('[1]LMP IN PPT'!$A7='[1]LMP IN MST'!$A5,'[1]LMP IN MST'!$Z5="ST",'[1]LMP IN MST'!$AA5="NORM",'[1]LMP IN MST'!$AB5="NOV"),'[1]LMP IN PPT'!V7,IF(AND('[1]LMP IN PPT'!$A7='[1]LMP IN MST'!$A5,'[1]LMP IN MST'!$Z5="DST",'[1]LMP IN MST'!$AA5="SF",'[1]LMP IN MST'!$AB5="MAR"),'[1]LMP IN PPT'!V7,IF(AND('[1]LMP IN PPT'!$A7='[1]LMP IN MST'!$A5,'[1]LMP IN MST'!$Z5="DST",'[1]LMP IN MST'!$AA5="NORM",'[1]LMP IN MST'!$AB5="NOV"),'[1]LMP IN PPT'!W7,IF(AND('[1]LMP IN PPT'!$A7='[1]LMP IN MST'!$A5,'[1]LMP IN MST'!$Z5="DST",'[1]LMP IN MST'!$AA5="NORM",OR('[1]LMP IN MST'!$AB5="MAR",'[1]LMP IN MST'!$AB5="")),'[1]LMP IN PPT'!V7,0))))))</f>
        <v>12.95725</v>
      </c>
      <c r="T5">
        <f>IF(AND('[1]LMP IN PPT'!$A7='[1]LMP IN MST'!$A5,'[1]LMP IN MST'!$Z5="ST",'[1]LMP IN MST'!$AA5="NORM",OR('[1]LMP IN MST'!$AB5="MAR",'[1]LMP IN MST'!$AB5="")),'[1]LMP IN PPT'!V7,IF(AND('[1]LMP IN PPT'!$A7='[1]LMP IN MST'!$A5,'[1]LMP IN MST'!$Z5="DST",'[1]LMP IN MST'!$AA5="FB",'[1]LMP IN MST'!$AB5="NOV"),'[1]LMP IN PPT'!W7,IF(AND('[1]LMP IN PPT'!$A7='[1]LMP IN MST'!$A5,'[1]LMP IN MST'!$Z5="ST",'[1]LMP IN MST'!$AA5="NORM",'[1]LMP IN MST'!$AB5="NOV"),'[1]LMP IN PPT'!W7,IF(AND('[1]LMP IN PPT'!$A7='[1]LMP IN MST'!$A5,'[1]LMP IN MST'!$Z5="DST",'[1]LMP IN MST'!$AA5="SF",'[1]LMP IN MST'!$AB5="MAR"),'[1]LMP IN PPT'!W7,IF(AND('[1]LMP IN PPT'!$A7='[1]LMP IN MST'!$A5,'[1]LMP IN MST'!$Z5="DST",'[1]LMP IN MST'!$AA5="NORM",'[1]LMP IN MST'!$AB5="NOV"),'[1]LMP IN PPT'!X7,IF(AND('[1]LMP IN PPT'!$A7='[1]LMP IN MST'!$A5,'[1]LMP IN MST'!$Z5="DST",'[1]LMP IN MST'!$AA5="NORM",OR('[1]LMP IN MST'!$AB5="MAR",'[1]LMP IN MST'!$AB5="")),'[1]LMP IN PPT'!W7,0))))))</f>
        <v>46.72784</v>
      </c>
      <c r="U5">
        <f>IF(AND('[1]LMP IN PPT'!$A7='[1]LMP IN MST'!$A5,'[1]LMP IN MST'!$Z5="ST",'[1]LMP IN MST'!$AA5="NORM",OR('[1]LMP IN MST'!$AB5="MAR",'[1]LMP IN MST'!$AB5="")),'[1]LMP IN PPT'!W7,IF(AND('[1]LMP IN PPT'!$A7='[1]LMP IN MST'!$A5,'[1]LMP IN MST'!$Z5="DST",'[1]LMP IN MST'!$AA5="FB",'[1]LMP IN MST'!$AB5="NOV"),'[1]LMP IN PPT'!X7,IF(AND('[1]LMP IN PPT'!$A7='[1]LMP IN MST'!$A5,'[1]LMP IN MST'!$Z5="ST",'[1]LMP IN MST'!$AA5="NORM",'[1]LMP IN MST'!$AB5="NOV"),'[1]LMP IN PPT'!X7,IF(AND('[1]LMP IN PPT'!$A7='[1]LMP IN MST'!$A5,'[1]LMP IN MST'!$Z5="DST",'[1]LMP IN MST'!$AA5="SF",'[1]LMP IN MST'!$AB5="MAR"),'[1]LMP IN PPT'!X7,IF(AND('[1]LMP IN PPT'!$A7='[1]LMP IN MST'!$A5,'[1]LMP IN MST'!$Z5="DST",'[1]LMP IN MST'!$AA5="NORM",'[1]LMP IN MST'!$AB5="NOV"),'[1]LMP IN PPT'!Y7,IF(AND('[1]LMP IN PPT'!$A7='[1]LMP IN MST'!$A5,'[1]LMP IN MST'!$Z5="DST",'[1]LMP IN MST'!$AA5="NORM",OR('[1]LMP IN MST'!$AB5="MAR",'[1]LMP IN MST'!$AB5="")),'[1]LMP IN PPT'!X7,0))))))</f>
        <v>55.567680000000003</v>
      </c>
      <c r="V5">
        <f>IF(AND('[1]LMP IN PPT'!$A7='[1]LMP IN MST'!$A5,'[1]LMP IN MST'!$Z5="ST",'[1]LMP IN MST'!$AA5="NORM",OR('[1]LMP IN MST'!$AB5="MAR",'[1]LMP IN MST'!$AB5="")),'[1]LMP IN PPT'!X7,IF(AND('[1]LMP IN PPT'!$A7='[1]LMP IN MST'!$A5,'[1]LMP IN MST'!$Z5="DST",'[1]LMP IN MST'!$AA5="FB",'[1]LMP IN MST'!$AB5="NOV"),'[1]LMP IN PPT'!Y7,IF(AND('[1]LMP IN PPT'!$A7='[1]LMP IN MST'!$A5,'[1]LMP IN MST'!$Z5="ST",'[1]LMP IN MST'!$AA5="NORM",'[1]LMP IN MST'!$AB5="NOV"),'[1]LMP IN PPT'!Y7,IF(AND('[1]LMP IN PPT'!$A7='[1]LMP IN MST'!$A5,'[1]LMP IN MST'!$Z5="DST",'[1]LMP IN MST'!$AA5="SF",'[1]LMP IN MST'!$AB5="MAR"),'[1]LMP IN PPT'!Y7,IF(AND('[1]LMP IN PPT'!$A7='[1]LMP IN MST'!$A5,'[1]LMP IN MST'!$Z5="DST",'[1]LMP IN MST'!$AA5="NORM",'[1]LMP IN MST'!$AB5="NOV"),'[1]LMP IN PPT'!Z7,IF(AND('[1]LMP IN PPT'!$A7='[1]LMP IN MST'!$A5,'[1]LMP IN MST'!$Z5="DST",'[1]LMP IN MST'!$AA5="NORM",OR('[1]LMP IN MST'!$AB5="MAR",'[1]LMP IN MST'!$AB5="")),'[1]LMP IN PPT'!Y7,0))))))</f>
        <v>55</v>
      </c>
      <c r="W5">
        <f>IF(AND('[1]LMP IN PPT'!$A7='[1]LMP IN MST'!$A5,'[1]LMP IN MST'!$Z5="ST",'[1]LMP IN MST'!$AA5="NORM",OR('[1]LMP IN MST'!$AB5="MAR",'[1]LMP IN MST'!$AB5="")),'[1]LMP IN PPT'!Y7,IF(AND('[1]LMP IN PPT'!$A7='[1]LMP IN MST'!$A5,'[1]LMP IN MST'!$Z5="DST",'[1]LMP IN MST'!$AA5="FB",'[1]LMP IN MST'!$AB5="NOV"),'[1]LMP IN PPT'!Z7,IF(AND('[1]LMP IN PPT'!$A7='[1]LMP IN MST'!$A5,'[1]LMP IN MST'!$Z5="ST",'[1]LMP IN MST'!$AA5="NORM",'[1]LMP IN MST'!$AB5="NOV"),'[1]LMP IN PPT'!Z7,IF(AND('[1]LMP IN PPT'!$A7='[1]LMP IN MST'!$A5,'[1]LMP IN MST'!$Z5="DST",'[1]LMP IN MST'!$AA5="SF",'[1]LMP IN MST'!$AB5="MAR"),'[1]LMP IN PPT'!Z7,IF(AND('[1]LMP IN PPT'!$A7='[1]LMP IN MST'!$A5,'[1]LMP IN MST'!$Z5="DST",'[1]LMP IN MST'!$AA5="NORM",'[1]LMP IN MST'!$AB5="NOV"),'[1]LMP IN PPT'!AA7,IF(AND('[1]LMP IN PPT'!$A7='[1]LMP IN MST'!$A5,'[1]LMP IN MST'!$Z5="DST",'[1]LMP IN MST'!$AA5="NORM",OR('[1]LMP IN MST'!$AB5="MAR",'[1]LMP IN MST'!$AB5="")),'[1]LMP IN PPT'!Z7,0))))))</f>
        <v>52.668810000000001</v>
      </c>
      <c r="X5">
        <f>IF(AND('[1]LMP IN PPT'!$A7='[1]LMP IN MST'!$A5,'[1]LMP IN MST'!$Z5="ST",'[1]LMP IN MST'!$AA5="NORM",OR('[1]LMP IN MST'!$AB5="MAR",'[1]LMP IN MST'!$AB5="")),'[1]LMP IN PPT'!Z7,IF(AND('[1]LMP IN PPT'!$A7='[1]LMP IN MST'!$A5,'[1]LMP IN MST'!$Z5="DST",'[1]LMP IN MST'!$AA5="FB",'[1]LMP IN MST'!$AB5="NOV"),'[1]LMP IN PPT'!AA7,IF(AND('[1]LMP IN PPT'!$A7='[1]LMP IN MST'!$A5,'[1]LMP IN MST'!$Z5="ST",'[1]LMP IN MST'!$AA5="NORM",'[1]LMP IN MST'!$AB5="NOV"),'[1]LMP IN PPT'!AA7,IF(AND('[1]LMP IN PPT'!$A7='[1]LMP IN MST'!$A5,'[1]LMP IN MST'!$Z5="DST",'[1]LMP IN MST'!$AA5="SF",'[1]LMP IN MST'!$AB5="MAR"),'[1]LMP IN PPT'!AA7,IF(AND('[1]LMP IN PPT'!$A7='[1]LMP IN MST'!$A5,'[1]LMP IN MST'!$Z5="DST",'[1]LMP IN MST'!$AA5="NORM",'[1]LMP IN MST'!$AB5="NOV"),'[1]LMP IN PPT'!AB7,IF(AND('[1]LMP IN PPT'!$A7='[1]LMP IN MST'!$A5,'[1]LMP IN MST'!$Z5="DST",'[1]LMP IN MST'!$AA5="NORM",OR('[1]LMP IN MST'!$AB5="MAR",'[1]LMP IN MST'!$AB5="")),'[1]LMP IN PPT'!AA7,0))))))</f>
        <v>49.401090000000003</v>
      </c>
      <c r="Y5">
        <f>IF(AND('[1]LMP IN PPT'!$A7='[1]LMP IN MST'!$A5,'[1]LMP IN MST'!$Z5="ST",'[1]LMP IN MST'!$AA5="NORM",OR('[1]LMP IN MST'!$AB5="MAR",'[1]LMP IN MST'!$AB5="")),'[1]LMP IN PPT'!AA7,IF(AND('[1]LMP IN PPT'!$A7='[1]LMP IN MST'!$A5,'[1]LMP IN MST'!$Z5="DST",'[1]LMP IN MST'!$AA5="FB",'[1]LMP IN MST'!$AB5="NOV"),'[1]LMP IN PPT'!AB7,IF(AND('[1]LMP IN PPT'!$A7='[1]LMP IN MST'!$A5,'[1]LMP IN MST'!$Z5="ST",'[1]LMP IN MST'!$AA5="NORM",'[1]LMP IN MST'!$AB5="NOV"),'[1]LMP IN PPT'!AB7,IF(AND('[1]LMP IN PPT'!$A7='[1]LMP IN MST'!$A5,'[1]LMP IN MST'!$Z5="DST",'[1]LMP IN MST'!$AA5="SF",'[1]LMP IN MST'!$AB5="MAR"),'[1]LMP IN PPT'!AB7,IF(AND('[1]LMP IN PPT'!$A7='[1]LMP IN MST'!$A5,'[1]LMP IN MST'!$Z5="DST",'[1]LMP IN MST'!$AA5="NORM",'[1]LMP IN MST'!$AB5="NOV"),'[1]LMP IN PPT'!AC7,IF(AND('[1]LMP IN PPT'!$A7='[1]LMP IN MST'!$A5,'[1]LMP IN MST'!$Z5="DST",'[1]LMP IN MST'!$AA5="NORM",OR('[1]LMP IN MST'!$AB5="MAR",'[1]LMP IN MST'!$AB5="")),'[1]LMP IN PPT'!AB7,0))))))</f>
        <v>47.885489999999997</v>
      </c>
    </row>
    <row r="6" spans="1:25" x14ac:dyDescent="0.3">
      <c r="A6" s="1">
        <f t="shared" si="0"/>
        <v>45356</v>
      </c>
      <c r="B6">
        <f>IF(AND('[1]LMP IN PPT'!$A8='[1]LMP IN MST'!$A6,'[1]LMP IN MST'!$Z6="ST",'[1]LMP IN MST'!$AA6="NORM",'[1]LMP IN MST'!$AB6="NOV"),'[1]LMP IN PPT'!AC7,IF(AND('[1]LMP IN PPT'!$A8='[1]LMP IN MST'!$A6,'[1]LMP IN MST'!$Z6="ST",'[1]LMP IN MST'!$AA6="NORM",'[1]LMP IN MST'!$AB6="MAR"),'[1]LMP IN PPT'!AB7,IF(AND('[1]LMP IN PPT'!$A8='[1]LMP IN MST'!$A6,'[1]LMP IN MST'!$Z6="ST",'[1]LMP IN MST'!$AA6="NORM",'[1]LMP IN MST'!$AB6=""),'[1]LMP IN PPT'!AB7,IF(AND('[1]LMP IN PPT'!$A8='[1]LMP IN MST'!$A6,'[1]LMP IN MST'!$Z6="DST",'[1]LMP IN MST'!$AA6="FB",'[1]LMP IN MST'!$AB6="NOV"),'[1]LMP IN PPT'!E8,IF(AND('[1]LMP IN PPT'!$A8='[1]LMP IN MST'!$A6,'[1]LMP IN MST'!$Z6="DST",'[1]LMP IN MST'!$AA6="SF",'[1]LMP IN MST'!$AB6="MAR"),'[1]LMP IN PPT'!AB7,IF(AND('[1]LMP IN PPT'!$A8='[1]LMP IN MST'!$A6,'[1]LMP IN MST'!$Z6="DST",'[1]LMP IN MST'!$AA6="NORM",OR('[1]LMP IN MST'!$AB6="MAR",'[1]LMP IN MST'!$AB6="",'[1]LMP IN MST'!$AB6="NOV")),'[1]LMP IN PPT'!E8,0))))))</f>
        <v>45.034599999999998</v>
      </c>
      <c r="C6">
        <f>IF(AND('[1]LMP IN PPT'!$A8='[1]LMP IN MST'!$A6,'[1]LMP IN MST'!$Z6="ST",'[1]LMP IN MST'!$AA6="NORM",OR('[1]LMP IN MST'!$AB6="NOV",'[1]LMP IN MST'!$AB6="MAR",'[1]LMP IN MST'!$AB6="")),'[1]LMP IN PPT'!E8,IF(AND('[1]LMP IN PPT'!$A8='[1]LMP IN MST'!$A6,'[1]LMP IN MST'!$Z6="DST",'[1]LMP IN MST'!$AA6="FB",'[1]LMP IN MST'!$AB6="NOV"),'[1]LMP IN PPT'!F8,IF(AND('[1]LMP IN PPT'!$A8='[1]LMP IN MST'!$A6,'[1]LMP IN MST'!$Z6="DST",'[1]LMP IN MST'!$AA6="SF",'[1]LMP IN MST'!$AB6="MAR"),'[1]LMP IN PPT'!E8,IF(AND('[1]LMP IN PPT'!$A8='[1]LMP IN MST'!$A6,'[1]LMP IN MST'!$Z6="DST",'[1]LMP IN MST'!$AA6="NORM",OR('[1]LMP IN MST'!$AB6="MAR",'[1]LMP IN MST'!$AB6="",'[1]LMP IN MST'!$AB6="NOV")),'[1]LMP IN PPT'!F8,0))))</f>
        <v>42.557519999999997</v>
      </c>
      <c r="D6">
        <f>IF(AND('[1]LMP IN PPT'!$A8='[1]LMP IN MST'!$A6,'[1]LMP IN MST'!$Z6="ST",'[1]LMP IN MST'!$AA6="NORM",OR('[1]LMP IN MST'!$AB6="NOV",'[1]LMP IN MST'!$AB6="MAR",'[1]LMP IN MST'!$AB6="")),'[1]LMP IN PPT'!F8,IF(AND('[1]LMP IN PPT'!$A8='[1]LMP IN MST'!$A6,'[1]LMP IN MST'!$Z6="DST",'[1]LMP IN MST'!$AA6="FB",'[1]LMP IN MST'!$AB6="NOV"),'[1]LMP IN PPT'!G8,IF(AND('[1]LMP IN PPT'!$A8='[1]LMP IN MST'!$A6,'[1]LMP IN MST'!$Z6="DST",'[1]LMP IN MST'!$AA6="SF",'[1]LMP IN MST'!$AB6="MAR"),'[1]LMP IN PPT'!F8,IF(AND('[1]LMP IN PPT'!$A8='[1]LMP IN MST'!$A6,'[1]LMP IN MST'!$Z6="DST",'[1]LMP IN MST'!$AA6="NORM",'[1]LMP IN MST'!$AB6="NOV"),'[1]LMP IN PPT'!H8,IF(AND('[1]LMP IN PPT'!$A8='[1]LMP IN MST'!$A6,'[1]LMP IN MST'!$Z6="DST",'[1]LMP IN MST'!$AA6="NORM",OR('[1]LMP IN MST'!$AB6="MAR",'[1]LMP IN MST'!$AB6="")),'[1]LMP IN PPT'!G8,0)))))</f>
        <v>41.374699999999997</v>
      </c>
      <c r="E6">
        <f>IF(AND('[1]LMP IN PPT'!$A8='[1]LMP IN MST'!$A6,'[1]LMP IN MST'!$Z6="ST",'[1]LMP IN MST'!$AA6="NORM",OR('[1]LMP IN MST'!$AB6="MAR",'[1]LMP IN MST'!$AB6="")),'[1]LMP IN PPT'!G8,IF(AND('[1]LMP IN PPT'!$A8='[1]LMP IN MST'!$A6,'[1]LMP IN MST'!$Z6="DST",'[1]LMP IN MST'!$AA6="FB",'[1]LMP IN MST'!$AB6="NOV"),'[1]LMP IN PPT'!H8,IF(AND('[1]LMP IN PPT'!$A8='[1]LMP IN MST'!$A6,'[1]LMP IN MST'!$Z6="ST",'[1]LMP IN MST'!$AA6="NORM",'[1]LMP IN MST'!$AB6="NOV"),'[1]LMP IN PPT'!H8,IF(AND('[1]LMP IN PPT'!$A8='[1]LMP IN MST'!$A6,'[1]LMP IN MST'!$Z6="DST",'[1]LMP IN MST'!$AA6="SF",'[1]LMP IN MST'!$AB6="MAR"),'[1]LMP IN PPT'!H8,IF(AND('[1]LMP IN PPT'!$A8='[1]LMP IN MST'!$A6,'[1]LMP IN MST'!$Z6="DST",'[1]LMP IN MST'!$AA6="NORM",'[1]LMP IN MST'!$AB6="NOV"),'[1]LMP IN PPT'!I8,IF(AND('[1]LMP IN PPT'!$A8='[1]LMP IN MST'!$A6,'[1]LMP IN MST'!$Z6="DST",'[1]LMP IN MST'!$AA6="NORM",OR('[1]LMP IN MST'!$AB6="MAR",'[1]LMP IN MST'!$AB6="")),'[1]LMP IN PPT'!H8,0))))))</f>
        <v>41.299100000000003</v>
      </c>
      <c r="F6">
        <f>IF(AND('[1]LMP IN PPT'!$A8='[1]LMP IN MST'!$A6,'[1]LMP IN MST'!$Z6="ST",'[1]LMP IN MST'!$AA6="NORM",OR('[1]LMP IN MST'!$AB6="MAR",'[1]LMP IN MST'!$AB6="")),'[1]LMP IN PPT'!H8,IF(AND('[1]LMP IN PPT'!$A8='[1]LMP IN MST'!$A6,'[1]LMP IN MST'!$Z6="DST",'[1]LMP IN MST'!$AA6="FB",'[1]LMP IN MST'!$AB6="NOV"),'[1]LMP IN PPT'!I8,IF(AND('[1]LMP IN PPT'!$A8='[1]LMP IN MST'!$A6,'[1]LMP IN MST'!$Z6="ST",'[1]LMP IN MST'!$AA6="NORM",'[1]LMP IN MST'!$AB6="NOV"),'[1]LMP IN PPT'!I8,IF(AND('[1]LMP IN PPT'!$A8='[1]LMP IN MST'!$A6,'[1]LMP IN MST'!$Z6="DST",'[1]LMP IN MST'!$AA6="SF",'[1]LMP IN MST'!$AB6="MAR"),'[1]LMP IN PPT'!I8,IF(AND('[1]LMP IN PPT'!$A8='[1]LMP IN MST'!$A6,'[1]LMP IN MST'!$Z6="DST",'[1]LMP IN MST'!$AA6="NORM",'[1]LMP IN MST'!$AB6="NOV"),'[1]LMP IN PPT'!J8,IF(AND('[1]LMP IN PPT'!$A8='[1]LMP IN MST'!$A6,'[1]LMP IN MST'!$Z6="DST",'[1]LMP IN MST'!$AA6="NORM",OR('[1]LMP IN MST'!$AB6="MAR",'[1]LMP IN MST'!$AB6="")),'[1]LMP IN PPT'!I8,0))))))</f>
        <v>41.37941</v>
      </c>
      <c r="G6">
        <f>IF(AND('[1]LMP IN PPT'!$A8='[1]LMP IN MST'!$A6,'[1]LMP IN MST'!$Z6="ST",'[1]LMP IN MST'!$AA6="NORM",OR('[1]LMP IN MST'!$AB6="MAR",'[1]LMP IN MST'!$AB6="")),'[1]LMP IN PPT'!I8,IF(AND('[1]LMP IN PPT'!$A8='[1]LMP IN MST'!$A6,'[1]LMP IN MST'!$Z6="DST",'[1]LMP IN MST'!$AA6="FB",'[1]LMP IN MST'!$AB6="NOV"),'[1]LMP IN PPT'!J8,IF(AND('[1]LMP IN PPT'!$A8='[1]LMP IN MST'!$A6,'[1]LMP IN MST'!$Z6="ST",'[1]LMP IN MST'!$AA6="NORM",'[1]LMP IN MST'!$AB6="NOV"),'[1]LMP IN PPT'!J8,IF(AND('[1]LMP IN PPT'!$A8='[1]LMP IN MST'!$A6,'[1]LMP IN MST'!$Z6="DST",'[1]LMP IN MST'!$AA6="SF",'[1]LMP IN MST'!$AB6="MAR"),'[1]LMP IN PPT'!J8,IF(AND('[1]LMP IN PPT'!$A8='[1]LMP IN MST'!$A6,'[1]LMP IN MST'!$Z6="DST",'[1]LMP IN MST'!$AA6="NORM",'[1]LMP IN MST'!$AB6="NOV"),'[1]LMP IN PPT'!K8,IF(AND('[1]LMP IN PPT'!$A8='[1]LMP IN MST'!$A6,'[1]LMP IN MST'!$Z6="DST",'[1]LMP IN MST'!$AA6="NORM",OR('[1]LMP IN MST'!$AB6="MAR",'[1]LMP IN MST'!$AB6="")),'[1]LMP IN PPT'!J8,0))))))</f>
        <v>43.272530000000003</v>
      </c>
      <c r="H6">
        <f>IF(AND('[1]LMP IN PPT'!$A8='[1]LMP IN MST'!$A6,'[1]LMP IN MST'!$Z6="ST",'[1]LMP IN MST'!$AA6="NORM",OR('[1]LMP IN MST'!$AB6="MAR",'[1]LMP IN MST'!$AB6="")),'[1]LMP IN PPT'!J8,IF(AND('[1]LMP IN PPT'!$A8='[1]LMP IN MST'!$A6,'[1]LMP IN MST'!$Z6="DST",'[1]LMP IN MST'!$AA6="FB",'[1]LMP IN MST'!$AB6="NOV"),'[1]LMP IN PPT'!K8,IF(AND('[1]LMP IN PPT'!$A8='[1]LMP IN MST'!$A6,'[1]LMP IN MST'!$Z6="ST",'[1]LMP IN MST'!$AA6="NORM",'[1]LMP IN MST'!$AB6="NOV"),'[1]LMP IN PPT'!K8,IF(AND('[1]LMP IN PPT'!$A8='[1]LMP IN MST'!$A6,'[1]LMP IN MST'!$Z6="DST",'[1]LMP IN MST'!$AA6="SF",'[1]LMP IN MST'!$AB6="MAR"),'[1]LMP IN PPT'!K8,IF(AND('[1]LMP IN PPT'!$A8='[1]LMP IN MST'!$A6,'[1]LMP IN MST'!$Z6="DST",'[1]LMP IN MST'!$AA6="NORM",'[1]LMP IN MST'!$AB6="NOV"),'[1]LMP IN PPT'!L8,IF(AND('[1]LMP IN PPT'!$A8='[1]LMP IN MST'!$A6,'[1]LMP IN MST'!$Z6="DST",'[1]LMP IN MST'!$AA6="NORM",OR('[1]LMP IN MST'!$AB6="MAR",'[1]LMP IN MST'!$AB6="")),'[1]LMP IN PPT'!K8,0))))))</f>
        <v>52.513730000000002</v>
      </c>
      <c r="I6">
        <f>IF(AND('[1]LMP IN PPT'!$A8='[1]LMP IN MST'!$A6,'[1]LMP IN MST'!$Z6="ST",'[1]LMP IN MST'!$AA6="NORM",OR('[1]LMP IN MST'!$AB6="MAR",'[1]LMP IN MST'!$AB6="")),'[1]LMP IN PPT'!K8,IF(AND('[1]LMP IN PPT'!$A8='[1]LMP IN MST'!$A6,'[1]LMP IN MST'!$Z6="DST",'[1]LMP IN MST'!$AA6="FB",'[1]LMP IN MST'!$AB6="NOV"),'[1]LMP IN PPT'!L8,IF(AND('[1]LMP IN PPT'!$A8='[1]LMP IN MST'!$A6,'[1]LMP IN MST'!$Z6="ST",'[1]LMP IN MST'!$AA6="NORM",'[1]LMP IN MST'!$AB6="NOV"),'[1]LMP IN PPT'!L8,IF(AND('[1]LMP IN PPT'!$A8='[1]LMP IN MST'!$A6,'[1]LMP IN MST'!$Z6="DST",'[1]LMP IN MST'!$AA6="SF",'[1]LMP IN MST'!$AB6="MAR"),'[1]LMP IN PPT'!L8,IF(AND('[1]LMP IN PPT'!$A8='[1]LMP IN MST'!$A6,'[1]LMP IN MST'!$Z6="DST",'[1]LMP IN MST'!$AA6="NORM",'[1]LMP IN MST'!$AB6="NOV"),'[1]LMP IN PPT'!M8,IF(AND('[1]LMP IN PPT'!$A8='[1]LMP IN MST'!$A6,'[1]LMP IN MST'!$Z6="DST",'[1]LMP IN MST'!$AA6="NORM",OR('[1]LMP IN MST'!$AB6="MAR",'[1]LMP IN MST'!$AB6="")),'[1]LMP IN PPT'!L8,0))))))</f>
        <v>57.604759999999999</v>
      </c>
      <c r="J6">
        <f>IF(AND('[1]LMP IN PPT'!$A8='[1]LMP IN MST'!$A6,'[1]LMP IN MST'!$Z6="ST",'[1]LMP IN MST'!$AA6="NORM",OR('[1]LMP IN MST'!$AB6="MAR",'[1]LMP IN MST'!$AB6="")),'[1]LMP IN PPT'!L8,IF(AND('[1]LMP IN PPT'!$A8='[1]LMP IN MST'!$A6,'[1]LMP IN MST'!$Z6="DST",'[1]LMP IN MST'!$AA6="FB",'[1]LMP IN MST'!$AB6="NOV"),'[1]LMP IN PPT'!M8,IF(AND('[1]LMP IN PPT'!$A8='[1]LMP IN MST'!$A6,'[1]LMP IN MST'!$Z6="ST",'[1]LMP IN MST'!$AA6="NORM",'[1]LMP IN MST'!$AB6="NOV"),'[1]LMP IN PPT'!M8,IF(AND('[1]LMP IN PPT'!$A8='[1]LMP IN MST'!$A6,'[1]LMP IN MST'!$Z6="DST",'[1]LMP IN MST'!$AA6="SF",'[1]LMP IN MST'!$AB6="MAR"),'[1]LMP IN PPT'!M8,IF(AND('[1]LMP IN PPT'!$A8='[1]LMP IN MST'!$A6,'[1]LMP IN MST'!$Z6="DST",'[1]LMP IN MST'!$AA6="NORM",'[1]LMP IN MST'!$AB6="NOV"),'[1]LMP IN PPT'!N8,IF(AND('[1]LMP IN PPT'!$A8='[1]LMP IN MST'!$A6,'[1]LMP IN MST'!$Z6="DST",'[1]LMP IN MST'!$AA6="NORM",OR('[1]LMP IN MST'!$AB6="MAR",'[1]LMP IN MST'!$AB6="")),'[1]LMP IN PPT'!M8,0))))))</f>
        <v>20.622789999999998</v>
      </c>
      <c r="K6">
        <f>IF(AND('[1]LMP IN PPT'!$A8='[1]LMP IN MST'!$A6,'[1]LMP IN MST'!$Z6="ST",'[1]LMP IN MST'!$AA6="NORM",OR('[1]LMP IN MST'!$AB6="MAR",'[1]LMP IN MST'!$AB6="")),'[1]LMP IN PPT'!M8,IF(AND('[1]LMP IN PPT'!$A8='[1]LMP IN MST'!$A6,'[1]LMP IN MST'!$Z6="DST",'[1]LMP IN MST'!$AA6="FB",'[1]LMP IN MST'!$AB6="NOV"),'[1]LMP IN PPT'!N8,IF(AND('[1]LMP IN PPT'!$A8='[1]LMP IN MST'!$A6,'[1]LMP IN MST'!$Z6="ST",'[1]LMP IN MST'!$AA6="NORM",'[1]LMP IN MST'!$AB6="NOV"),'[1]LMP IN PPT'!N8,IF(AND('[1]LMP IN PPT'!$A8='[1]LMP IN MST'!$A6,'[1]LMP IN MST'!$Z6="DST",'[1]LMP IN MST'!$AA6="SF",'[1]LMP IN MST'!$AB6="MAR"),'[1]LMP IN PPT'!N8,IF(AND('[1]LMP IN PPT'!$A8='[1]LMP IN MST'!$A6,'[1]LMP IN MST'!$Z6="DST",'[1]LMP IN MST'!$AA6="NORM",'[1]LMP IN MST'!$AB6="NOV"),'[1]LMP IN PPT'!O8,IF(AND('[1]LMP IN PPT'!$A8='[1]LMP IN MST'!$A6,'[1]LMP IN MST'!$Z6="DST",'[1]LMP IN MST'!$AA6="NORM",OR('[1]LMP IN MST'!$AB6="MAR",'[1]LMP IN MST'!$AB6="")),'[1]LMP IN PPT'!N8,0))))))</f>
        <v>-13.606669999999999</v>
      </c>
      <c r="L6">
        <f>IF(AND('[1]LMP IN PPT'!$A8='[1]LMP IN MST'!$A6,'[1]LMP IN MST'!$Z6="ST",'[1]LMP IN MST'!$AA6="NORM",OR('[1]LMP IN MST'!$AB6="MAR",'[1]LMP IN MST'!$AB6="")),'[1]LMP IN PPT'!N8,IF(AND('[1]LMP IN PPT'!$A8='[1]LMP IN MST'!$A6,'[1]LMP IN MST'!$Z6="DST",'[1]LMP IN MST'!$AA6="FB",'[1]LMP IN MST'!$AB6="NOV"),'[1]LMP IN PPT'!O8,IF(AND('[1]LMP IN PPT'!$A8='[1]LMP IN MST'!$A6,'[1]LMP IN MST'!$Z6="ST",'[1]LMP IN MST'!$AA6="NORM",'[1]LMP IN MST'!$AB6="NOV"),'[1]LMP IN PPT'!O8,IF(AND('[1]LMP IN PPT'!$A8='[1]LMP IN MST'!$A6,'[1]LMP IN MST'!$Z6="DST",'[1]LMP IN MST'!$AA6="SF",'[1]LMP IN MST'!$AB6="MAR"),'[1]LMP IN PPT'!O8,IF(AND('[1]LMP IN PPT'!$A8='[1]LMP IN MST'!$A6,'[1]LMP IN MST'!$Z6="DST",'[1]LMP IN MST'!$AA6="NORM",'[1]LMP IN MST'!$AB6="NOV"),'[1]LMP IN PPT'!P8,IF(AND('[1]LMP IN PPT'!$A8='[1]LMP IN MST'!$A6,'[1]LMP IN MST'!$Z6="DST",'[1]LMP IN MST'!$AA6="NORM",OR('[1]LMP IN MST'!$AB6="MAR",'[1]LMP IN MST'!$AB6="")),'[1]LMP IN PPT'!O8,0))))))</f>
        <v>-20.72092</v>
      </c>
      <c r="M6">
        <f>IF(AND('[1]LMP IN PPT'!$A8='[1]LMP IN MST'!$A6,'[1]LMP IN MST'!$Z6="ST",'[1]LMP IN MST'!$AA6="NORM",OR('[1]LMP IN MST'!$AB6="MAR",'[1]LMP IN MST'!$AB6="")),'[1]LMP IN PPT'!O8,IF(AND('[1]LMP IN PPT'!$A8='[1]LMP IN MST'!$A6,'[1]LMP IN MST'!$Z6="DST",'[1]LMP IN MST'!$AA6="FB",'[1]LMP IN MST'!$AB6="NOV"),'[1]LMP IN PPT'!P8,IF(AND('[1]LMP IN PPT'!$A8='[1]LMP IN MST'!$A6,'[1]LMP IN MST'!$Z6="ST",'[1]LMP IN MST'!$AA6="NORM",'[1]LMP IN MST'!$AB6="NOV"),'[1]LMP IN PPT'!P8,IF(AND('[1]LMP IN PPT'!$A8='[1]LMP IN MST'!$A6,'[1]LMP IN MST'!$Z6="DST",'[1]LMP IN MST'!$AA6="SF",'[1]LMP IN MST'!$AB6="MAR"),'[1]LMP IN PPT'!P8,IF(AND('[1]LMP IN PPT'!$A8='[1]LMP IN MST'!$A6,'[1]LMP IN MST'!$Z6="DST",'[1]LMP IN MST'!$AA6="NORM",'[1]LMP IN MST'!$AB6="NOV"),'[1]LMP IN PPT'!Q8,IF(AND('[1]LMP IN PPT'!$A8='[1]LMP IN MST'!$A6,'[1]LMP IN MST'!$Z6="DST",'[1]LMP IN MST'!$AA6="NORM",OR('[1]LMP IN MST'!$AB6="MAR",'[1]LMP IN MST'!$AB6="")),'[1]LMP IN PPT'!P8,0))))))</f>
        <v>-21.992470000000001</v>
      </c>
      <c r="N6">
        <f>IF(AND('[1]LMP IN PPT'!$A8='[1]LMP IN MST'!$A6,'[1]LMP IN MST'!$Z6="ST",'[1]LMP IN MST'!$AA6="NORM",OR('[1]LMP IN MST'!$AB6="MAR",'[1]LMP IN MST'!$AB6="")),'[1]LMP IN PPT'!P8,IF(AND('[1]LMP IN PPT'!$A8='[1]LMP IN MST'!$A6,'[1]LMP IN MST'!$Z6="DST",'[1]LMP IN MST'!$AA6="FB",'[1]LMP IN MST'!$AB6="NOV"),'[1]LMP IN PPT'!Q8,IF(AND('[1]LMP IN PPT'!$A8='[1]LMP IN MST'!$A6,'[1]LMP IN MST'!$Z6="ST",'[1]LMP IN MST'!$AA6="NORM",'[1]LMP IN MST'!$AB6="NOV"),'[1]LMP IN PPT'!Q8,IF(AND('[1]LMP IN PPT'!$A8='[1]LMP IN MST'!$A6,'[1]LMP IN MST'!$Z6="DST",'[1]LMP IN MST'!$AA6="SF",'[1]LMP IN MST'!$AB6="MAR"),'[1]LMP IN PPT'!Q8,IF(AND('[1]LMP IN PPT'!$A8='[1]LMP IN MST'!$A6,'[1]LMP IN MST'!$Z6="DST",'[1]LMP IN MST'!$AA6="NORM",'[1]LMP IN MST'!$AB6="NOV"),'[1]LMP IN PPT'!R8,IF(AND('[1]LMP IN PPT'!$A8='[1]LMP IN MST'!$A6,'[1]LMP IN MST'!$Z6="DST",'[1]LMP IN MST'!$AA6="NORM",OR('[1]LMP IN MST'!$AB6="MAR",'[1]LMP IN MST'!$AB6="")),'[1]LMP IN PPT'!Q8,0))))))</f>
        <v>-22.629259999999999</v>
      </c>
      <c r="O6">
        <f>IF(AND('[1]LMP IN PPT'!$A8='[1]LMP IN MST'!$A6,'[1]LMP IN MST'!$Z6="ST",'[1]LMP IN MST'!$AA6="NORM",OR('[1]LMP IN MST'!$AB6="MAR",'[1]LMP IN MST'!$AB6="")),'[1]LMP IN PPT'!Q8,IF(AND('[1]LMP IN PPT'!$A8='[1]LMP IN MST'!$A6,'[1]LMP IN MST'!$Z6="DST",'[1]LMP IN MST'!$AA6="FB",'[1]LMP IN MST'!$AB6="NOV"),'[1]LMP IN PPT'!R8,IF(AND('[1]LMP IN PPT'!$A8='[1]LMP IN MST'!$A6,'[1]LMP IN MST'!$Z6="ST",'[1]LMP IN MST'!$AA6="NORM",'[1]LMP IN MST'!$AB6="NOV"),'[1]LMP IN PPT'!R8,IF(AND('[1]LMP IN PPT'!$A8='[1]LMP IN MST'!$A6,'[1]LMP IN MST'!$Z6="DST",'[1]LMP IN MST'!$AA6="SF",'[1]LMP IN MST'!$AB6="MAR"),'[1]LMP IN PPT'!R8,IF(AND('[1]LMP IN PPT'!$A8='[1]LMP IN MST'!$A6,'[1]LMP IN MST'!$Z6="DST",'[1]LMP IN MST'!$AA6="NORM",'[1]LMP IN MST'!$AB6="NOV"),'[1]LMP IN PPT'!S8,IF(AND('[1]LMP IN PPT'!$A8='[1]LMP IN MST'!$A6,'[1]LMP IN MST'!$Z6="DST",'[1]LMP IN MST'!$AA6="NORM",OR('[1]LMP IN MST'!$AB6="MAR",'[1]LMP IN MST'!$AB6="")),'[1]LMP IN PPT'!R8,0))))))</f>
        <v>-22.69003</v>
      </c>
      <c r="P6">
        <f>IF(AND('[1]LMP IN PPT'!$A8='[1]LMP IN MST'!$A6,'[1]LMP IN MST'!$Z6="ST",'[1]LMP IN MST'!$AA6="NORM",OR('[1]LMP IN MST'!$AB6="MAR",'[1]LMP IN MST'!$AB6="")),'[1]LMP IN PPT'!R8,IF(AND('[1]LMP IN PPT'!$A8='[1]LMP IN MST'!$A6,'[1]LMP IN MST'!$Z6="DST",'[1]LMP IN MST'!$AA6="FB",'[1]LMP IN MST'!$AB6="NOV"),'[1]LMP IN PPT'!S8,IF(AND('[1]LMP IN PPT'!$A8='[1]LMP IN MST'!$A6,'[1]LMP IN MST'!$Z6="ST",'[1]LMP IN MST'!$AA6="NORM",'[1]LMP IN MST'!$AB6="NOV"),'[1]LMP IN PPT'!S8,IF(AND('[1]LMP IN PPT'!$A8='[1]LMP IN MST'!$A6,'[1]LMP IN MST'!$Z6="DST",'[1]LMP IN MST'!$AA6="SF",'[1]LMP IN MST'!$AB6="MAR"),'[1]LMP IN PPT'!S8,IF(AND('[1]LMP IN PPT'!$A8='[1]LMP IN MST'!$A6,'[1]LMP IN MST'!$Z6="DST",'[1]LMP IN MST'!$AA6="NORM",'[1]LMP IN MST'!$AB6="NOV"),'[1]LMP IN PPT'!T8,IF(AND('[1]LMP IN PPT'!$A8='[1]LMP IN MST'!$A6,'[1]LMP IN MST'!$Z6="DST",'[1]LMP IN MST'!$AA6="NORM",OR('[1]LMP IN MST'!$AB6="MAR",'[1]LMP IN MST'!$AB6="")),'[1]LMP IN PPT'!S8,0))))))</f>
        <v>-22.273309999999999</v>
      </c>
      <c r="Q6">
        <f>IF(AND('[1]LMP IN PPT'!$A8='[1]LMP IN MST'!$A6,'[1]LMP IN MST'!$Z6="ST",'[1]LMP IN MST'!$AA6="NORM",OR('[1]LMP IN MST'!$AB6="MAR",'[1]LMP IN MST'!$AB6="")),'[1]LMP IN PPT'!S8,IF(AND('[1]LMP IN PPT'!$A8='[1]LMP IN MST'!$A6,'[1]LMP IN MST'!$Z6="DST",'[1]LMP IN MST'!$AA6="FB",'[1]LMP IN MST'!$AB6="NOV"),'[1]LMP IN PPT'!T8,IF(AND('[1]LMP IN PPT'!$A8='[1]LMP IN MST'!$A6,'[1]LMP IN MST'!$Z6="ST",'[1]LMP IN MST'!$AA6="NORM",'[1]LMP IN MST'!$AB6="NOV"),'[1]LMP IN PPT'!T8,IF(AND('[1]LMP IN PPT'!$A8='[1]LMP IN MST'!$A6,'[1]LMP IN MST'!$Z6="DST",'[1]LMP IN MST'!$AA6="SF",'[1]LMP IN MST'!$AB6="MAR"),'[1]LMP IN PPT'!T8,IF(AND('[1]LMP IN PPT'!$A8='[1]LMP IN MST'!$A6,'[1]LMP IN MST'!$Z6="DST",'[1]LMP IN MST'!$AA6="NORM",'[1]LMP IN MST'!$AB6="NOV"),'[1]LMP IN PPT'!U8,IF(AND('[1]LMP IN PPT'!$A8='[1]LMP IN MST'!$A6,'[1]LMP IN MST'!$Z6="DST",'[1]LMP IN MST'!$AA6="NORM",OR('[1]LMP IN MST'!$AB6="MAR",'[1]LMP IN MST'!$AB6="")),'[1]LMP IN PPT'!T8,0))))))</f>
        <v>-22.208400000000001</v>
      </c>
      <c r="R6">
        <f>IF(AND('[1]LMP IN PPT'!$A8='[1]LMP IN MST'!$A6,'[1]LMP IN MST'!$Z6="ST",'[1]LMP IN MST'!$AA6="NORM",OR('[1]LMP IN MST'!$AB6="MAR",'[1]LMP IN MST'!$AB6="")),'[1]LMP IN PPT'!T8,IF(AND('[1]LMP IN PPT'!$A8='[1]LMP IN MST'!$A6,'[1]LMP IN MST'!$Z6="DST",'[1]LMP IN MST'!$AA6="FB",'[1]LMP IN MST'!$AB6="NOV"),'[1]LMP IN PPT'!U8,IF(AND('[1]LMP IN PPT'!$A8='[1]LMP IN MST'!$A6,'[1]LMP IN MST'!$Z6="ST",'[1]LMP IN MST'!$AA6="NORM",'[1]LMP IN MST'!$AB6="NOV"),'[1]LMP IN PPT'!U8,IF(AND('[1]LMP IN PPT'!$A8='[1]LMP IN MST'!$A6,'[1]LMP IN MST'!$Z6="DST",'[1]LMP IN MST'!$AA6="SF",'[1]LMP IN MST'!$AB6="MAR"),'[1]LMP IN PPT'!U8,IF(AND('[1]LMP IN PPT'!$A8='[1]LMP IN MST'!$A6,'[1]LMP IN MST'!$Z6="DST",'[1]LMP IN MST'!$AA6="NORM",'[1]LMP IN MST'!$AB6="NOV"),'[1]LMP IN PPT'!V8,IF(AND('[1]LMP IN PPT'!$A8='[1]LMP IN MST'!$A6,'[1]LMP IN MST'!$Z6="DST",'[1]LMP IN MST'!$AA6="NORM",OR('[1]LMP IN MST'!$AB6="MAR",'[1]LMP IN MST'!$AB6="")),'[1]LMP IN PPT'!U8,0))))))</f>
        <v>-17.804749999999999</v>
      </c>
      <c r="S6">
        <f>IF(AND('[1]LMP IN PPT'!$A8='[1]LMP IN MST'!$A6,'[1]LMP IN MST'!$Z6="ST",'[1]LMP IN MST'!$AA6="NORM",OR('[1]LMP IN MST'!$AB6="MAR",'[1]LMP IN MST'!$AB6="")),'[1]LMP IN PPT'!U8,IF(AND('[1]LMP IN PPT'!$A8='[1]LMP IN MST'!$A6,'[1]LMP IN MST'!$Z6="DST",'[1]LMP IN MST'!$AA6="FB",'[1]LMP IN MST'!$AB6="NOV"),'[1]LMP IN PPT'!V8,IF(AND('[1]LMP IN PPT'!$A8='[1]LMP IN MST'!$A6,'[1]LMP IN MST'!$Z6="ST",'[1]LMP IN MST'!$AA6="NORM",'[1]LMP IN MST'!$AB6="NOV"),'[1]LMP IN PPT'!V8,IF(AND('[1]LMP IN PPT'!$A8='[1]LMP IN MST'!$A6,'[1]LMP IN MST'!$Z6="DST",'[1]LMP IN MST'!$AA6="SF",'[1]LMP IN MST'!$AB6="MAR"),'[1]LMP IN PPT'!V8,IF(AND('[1]LMP IN PPT'!$A8='[1]LMP IN MST'!$A6,'[1]LMP IN MST'!$Z6="DST",'[1]LMP IN MST'!$AA6="NORM",'[1]LMP IN MST'!$AB6="NOV"),'[1]LMP IN PPT'!W8,IF(AND('[1]LMP IN PPT'!$A8='[1]LMP IN MST'!$A6,'[1]LMP IN MST'!$Z6="DST",'[1]LMP IN MST'!$AA6="NORM",OR('[1]LMP IN MST'!$AB6="MAR",'[1]LMP IN MST'!$AB6="")),'[1]LMP IN PPT'!V8,0))))))</f>
        <v>12.657909999999999</v>
      </c>
      <c r="T6">
        <f>IF(AND('[1]LMP IN PPT'!$A8='[1]LMP IN MST'!$A6,'[1]LMP IN MST'!$Z6="ST",'[1]LMP IN MST'!$AA6="NORM",OR('[1]LMP IN MST'!$AB6="MAR",'[1]LMP IN MST'!$AB6="")),'[1]LMP IN PPT'!V8,IF(AND('[1]LMP IN PPT'!$A8='[1]LMP IN MST'!$A6,'[1]LMP IN MST'!$Z6="DST",'[1]LMP IN MST'!$AA6="FB",'[1]LMP IN MST'!$AB6="NOV"),'[1]LMP IN PPT'!W8,IF(AND('[1]LMP IN PPT'!$A8='[1]LMP IN MST'!$A6,'[1]LMP IN MST'!$Z6="ST",'[1]LMP IN MST'!$AA6="NORM",'[1]LMP IN MST'!$AB6="NOV"),'[1]LMP IN PPT'!W8,IF(AND('[1]LMP IN PPT'!$A8='[1]LMP IN MST'!$A6,'[1]LMP IN MST'!$Z6="DST",'[1]LMP IN MST'!$AA6="SF",'[1]LMP IN MST'!$AB6="MAR"),'[1]LMP IN PPT'!W8,IF(AND('[1]LMP IN PPT'!$A8='[1]LMP IN MST'!$A6,'[1]LMP IN MST'!$Z6="DST",'[1]LMP IN MST'!$AA6="NORM",'[1]LMP IN MST'!$AB6="NOV"),'[1]LMP IN PPT'!X8,IF(AND('[1]LMP IN PPT'!$A8='[1]LMP IN MST'!$A6,'[1]LMP IN MST'!$Z6="DST",'[1]LMP IN MST'!$AA6="NORM",OR('[1]LMP IN MST'!$AB6="MAR",'[1]LMP IN MST'!$AB6="")),'[1]LMP IN PPT'!W8,0))))))</f>
        <v>55.566110000000002</v>
      </c>
      <c r="U6">
        <f>IF(AND('[1]LMP IN PPT'!$A8='[1]LMP IN MST'!$A6,'[1]LMP IN MST'!$Z6="ST",'[1]LMP IN MST'!$AA6="NORM",OR('[1]LMP IN MST'!$AB6="MAR",'[1]LMP IN MST'!$AB6="")),'[1]LMP IN PPT'!W8,IF(AND('[1]LMP IN PPT'!$A8='[1]LMP IN MST'!$A6,'[1]LMP IN MST'!$Z6="DST",'[1]LMP IN MST'!$AA6="FB",'[1]LMP IN MST'!$AB6="NOV"),'[1]LMP IN PPT'!X8,IF(AND('[1]LMP IN PPT'!$A8='[1]LMP IN MST'!$A6,'[1]LMP IN MST'!$Z6="ST",'[1]LMP IN MST'!$AA6="NORM",'[1]LMP IN MST'!$AB6="NOV"),'[1]LMP IN PPT'!X8,IF(AND('[1]LMP IN PPT'!$A8='[1]LMP IN MST'!$A6,'[1]LMP IN MST'!$Z6="DST",'[1]LMP IN MST'!$AA6="SF",'[1]LMP IN MST'!$AB6="MAR"),'[1]LMP IN PPT'!X8,IF(AND('[1]LMP IN PPT'!$A8='[1]LMP IN MST'!$A6,'[1]LMP IN MST'!$Z6="DST",'[1]LMP IN MST'!$AA6="NORM",'[1]LMP IN MST'!$AB6="NOV"),'[1]LMP IN PPT'!Y8,IF(AND('[1]LMP IN PPT'!$A8='[1]LMP IN MST'!$A6,'[1]LMP IN MST'!$Z6="DST",'[1]LMP IN MST'!$AA6="NORM",OR('[1]LMP IN MST'!$AB6="MAR",'[1]LMP IN MST'!$AB6="")),'[1]LMP IN PPT'!X8,0))))))</f>
        <v>58.419640000000001</v>
      </c>
      <c r="V6">
        <f>IF(AND('[1]LMP IN PPT'!$A8='[1]LMP IN MST'!$A6,'[1]LMP IN MST'!$Z6="ST",'[1]LMP IN MST'!$AA6="NORM",OR('[1]LMP IN MST'!$AB6="MAR",'[1]LMP IN MST'!$AB6="")),'[1]LMP IN PPT'!X8,IF(AND('[1]LMP IN PPT'!$A8='[1]LMP IN MST'!$A6,'[1]LMP IN MST'!$Z6="DST",'[1]LMP IN MST'!$AA6="FB",'[1]LMP IN MST'!$AB6="NOV"),'[1]LMP IN PPT'!Y8,IF(AND('[1]LMP IN PPT'!$A8='[1]LMP IN MST'!$A6,'[1]LMP IN MST'!$Z6="ST",'[1]LMP IN MST'!$AA6="NORM",'[1]LMP IN MST'!$AB6="NOV"),'[1]LMP IN PPT'!Y8,IF(AND('[1]LMP IN PPT'!$A8='[1]LMP IN MST'!$A6,'[1]LMP IN MST'!$Z6="DST",'[1]LMP IN MST'!$AA6="SF",'[1]LMP IN MST'!$AB6="MAR"),'[1]LMP IN PPT'!Y8,IF(AND('[1]LMP IN PPT'!$A8='[1]LMP IN MST'!$A6,'[1]LMP IN MST'!$Z6="DST",'[1]LMP IN MST'!$AA6="NORM",'[1]LMP IN MST'!$AB6="NOV"),'[1]LMP IN PPT'!Z8,IF(AND('[1]LMP IN PPT'!$A8='[1]LMP IN MST'!$A6,'[1]LMP IN MST'!$Z6="DST",'[1]LMP IN MST'!$AA6="NORM",OR('[1]LMP IN MST'!$AB6="MAR",'[1]LMP IN MST'!$AB6="")),'[1]LMP IN PPT'!Y8,0))))))</f>
        <v>57.111220000000003</v>
      </c>
      <c r="W6">
        <f>IF(AND('[1]LMP IN PPT'!$A8='[1]LMP IN MST'!$A6,'[1]LMP IN MST'!$Z6="ST",'[1]LMP IN MST'!$AA6="NORM",OR('[1]LMP IN MST'!$AB6="MAR",'[1]LMP IN MST'!$AB6="")),'[1]LMP IN PPT'!Y8,IF(AND('[1]LMP IN PPT'!$A8='[1]LMP IN MST'!$A6,'[1]LMP IN MST'!$Z6="DST",'[1]LMP IN MST'!$AA6="FB",'[1]LMP IN MST'!$AB6="NOV"),'[1]LMP IN PPT'!Z8,IF(AND('[1]LMP IN PPT'!$A8='[1]LMP IN MST'!$A6,'[1]LMP IN MST'!$Z6="ST",'[1]LMP IN MST'!$AA6="NORM",'[1]LMP IN MST'!$AB6="NOV"),'[1]LMP IN PPT'!Z8,IF(AND('[1]LMP IN PPT'!$A8='[1]LMP IN MST'!$A6,'[1]LMP IN MST'!$Z6="DST",'[1]LMP IN MST'!$AA6="SF",'[1]LMP IN MST'!$AB6="MAR"),'[1]LMP IN PPT'!Z8,IF(AND('[1]LMP IN PPT'!$A8='[1]LMP IN MST'!$A6,'[1]LMP IN MST'!$Z6="DST",'[1]LMP IN MST'!$AA6="NORM",'[1]LMP IN MST'!$AB6="NOV"),'[1]LMP IN PPT'!AA8,IF(AND('[1]LMP IN PPT'!$A8='[1]LMP IN MST'!$A6,'[1]LMP IN MST'!$Z6="DST",'[1]LMP IN MST'!$AA6="NORM",OR('[1]LMP IN MST'!$AB6="MAR",'[1]LMP IN MST'!$AB6="")),'[1]LMP IN PPT'!Z8,0))))))</f>
        <v>55.717120000000001</v>
      </c>
      <c r="X6">
        <f>IF(AND('[1]LMP IN PPT'!$A8='[1]LMP IN MST'!$A6,'[1]LMP IN MST'!$Z6="ST",'[1]LMP IN MST'!$AA6="NORM",OR('[1]LMP IN MST'!$AB6="MAR",'[1]LMP IN MST'!$AB6="")),'[1]LMP IN PPT'!Z8,IF(AND('[1]LMP IN PPT'!$A8='[1]LMP IN MST'!$A6,'[1]LMP IN MST'!$Z6="DST",'[1]LMP IN MST'!$AA6="FB",'[1]LMP IN MST'!$AB6="NOV"),'[1]LMP IN PPT'!AA8,IF(AND('[1]LMP IN PPT'!$A8='[1]LMP IN MST'!$A6,'[1]LMP IN MST'!$Z6="ST",'[1]LMP IN MST'!$AA6="NORM",'[1]LMP IN MST'!$AB6="NOV"),'[1]LMP IN PPT'!AA8,IF(AND('[1]LMP IN PPT'!$A8='[1]LMP IN MST'!$A6,'[1]LMP IN MST'!$Z6="DST",'[1]LMP IN MST'!$AA6="SF",'[1]LMP IN MST'!$AB6="MAR"),'[1]LMP IN PPT'!AA8,IF(AND('[1]LMP IN PPT'!$A8='[1]LMP IN MST'!$A6,'[1]LMP IN MST'!$Z6="DST",'[1]LMP IN MST'!$AA6="NORM",'[1]LMP IN MST'!$AB6="NOV"),'[1]LMP IN PPT'!AB8,IF(AND('[1]LMP IN PPT'!$A8='[1]LMP IN MST'!$A6,'[1]LMP IN MST'!$Z6="DST",'[1]LMP IN MST'!$AA6="NORM",OR('[1]LMP IN MST'!$AB6="MAR",'[1]LMP IN MST'!$AB6="")),'[1]LMP IN PPT'!AA8,0))))))</f>
        <v>55.040709999999997</v>
      </c>
      <c r="Y6">
        <f>IF(AND('[1]LMP IN PPT'!$A8='[1]LMP IN MST'!$A6,'[1]LMP IN MST'!$Z6="ST",'[1]LMP IN MST'!$AA6="NORM",OR('[1]LMP IN MST'!$AB6="MAR",'[1]LMP IN MST'!$AB6="")),'[1]LMP IN PPT'!AA8,IF(AND('[1]LMP IN PPT'!$A8='[1]LMP IN MST'!$A6,'[1]LMP IN MST'!$Z6="DST",'[1]LMP IN MST'!$AA6="FB",'[1]LMP IN MST'!$AB6="NOV"),'[1]LMP IN PPT'!AB8,IF(AND('[1]LMP IN PPT'!$A8='[1]LMP IN MST'!$A6,'[1]LMP IN MST'!$Z6="ST",'[1]LMP IN MST'!$AA6="NORM",'[1]LMP IN MST'!$AB6="NOV"),'[1]LMP IN PPT'!AB8,IF(AND('[1]LMP IN PPT'!$A8='[1]LMP IN MST'!$A6,'[1]LMP IN MST'!$Z6="DST",'[1]LMP IN MST'!$AA6="SF",'[1]LMP IN MST'!$AB6="MAR"),'[1]LMP IN PPT'!AB8,IF(AND('[1]LMP IN PPT'!$A8='[1]LMP IN MST'!$A6,'[1]LMP IN MST'!$Z6="DST",'[1]LMP IN MST'!$AA6="NORM",'[1]LMP IN MST'!$AB6="NOV"),'[1]LMP IN PPT'!AC8,IF(AND('[1]LMP IN PPT'!$A8='[1]LMP IN MST'!$A6,'[1]LMP IN MST'!$Z6="DST",'[1]LMP IN MST'!$AA6="NORM",OR('[1]LMP IN MST'!$AB6="MAR",'[1]LMP IN MST'!$AB6="")),'[1]LMP IN PPT'!AB8,0))))))</f>
        <v>52.383850000000002</v>
      </c>
    </row>
    <row r="7" spans="1:25" x14ac:dyDescent="0.3">
      <c r="A7" s="1">
        <f t="shared" si="0"/>
        <v>45357</v>
      </c>
      <c r="B7">
        <f>IF(AND('[1]LMP IN PPT'!$A9='[1]LMP IN MST'!$A7,'[1]LMP IN MST'!$Z7="ST",'[1]LMP IN MST'!$AA7="NORM",'[1]LMP IN MST'!$AB7="NOV"),'[1]LMP IN PPT'!AC8,IF(AND('[1]LMP IN PPT'!$A9='[1]LMP IN MST'!$A7,'[1]LMP IN MST'!$Z7="ST",'[1]LMP IN MST'!$AA7="NORM",'[1]LMP IN MST'!$AB7="MAR"),'[1]LMP IN PPT'!AB8,IF(AND('[1]LMP IN PPT'!$A9='[1]LMP IN MST'!$A7,'[1]LMP IN MST'!$Z7="ST",'[1]LMP IN MST'!$AA7="NORM",'[1]LMP IN MST'!$AB7=""),'[1]LMP IN PPT'!AB8,IF(AND('[1]LMP IN PPT'!$A9='[1]LMP IN MST'!$A7,'[1]LMP IN MST'!$Z7="DST",'[1]LMP IN MST'!$AA7="FB",'[1]LMP IN MST'!$AB7="NOV"),'[1]LMP IN PPT'!E9,IF(AND('[1]LMP IN PPT'!$A9='[1]LMP IN MST'!$A7,'[1]LMP IN MST'!$Z7="DST",'[1]LMP IN MST'!$AA7="SF",'[1]LMP IN MST'!$AB7="MAR"),'[1]LMP IN PPT'!AB8,IF(AND('[1]LMP IN PPT'!$A9='[1]LMP IN MST'!$A7,'[1]LMP IN MST'!$Z7="DST",'[1]LMP IN MST'!$AA7="NORM",OR('[1]LMP IN MST'!$AB7="MAR",'[1]LMP IN MST'!$AB7="",'[1]LMP IN MST'!$AB7="NOV")),'[1]LMP IN PPT'!E9,0))))))</f>
        <v>45.476889999999997</v>
      </c>
      <c r="C7">
        <f>IF(AND('[1]LMP IN PPT'!$A9='[1]LMP IN MST'!$A7,'[1]LMP IN MST'!$Z7="ST",'[1]LMP IN MST'!$AA7="NORM",OR('[1]LMP IN MST'!$AB7="NOV",'[1]LMP IN MST'!$AB7="MAR",'[1]LMP IN MST'!$AB7="")),'[1]LMP IN PPT'!E9,IF(AND('[1]LMP IN PPT'!$A9='[1]LMP IN MST'!$A7,'[1]LMP IN MST'!$Z7="DST",'[1]LMP IN MST'!$AA7="FB",'[1]LMP IN MST'!$AB7="NOV"),'[1]LMP IN PPT'!F9,IF(AND('[1]LMP IN PPT'!$A9='[1]LMP IN MST'!$A7,'[1]LMP IN MST'!$Z7="DST",'[1]LMP IN MST'!$AA7="SF",'[1]LMP IN MST'!$AB7="MAR"),'[1]LMP IN PPT'!E9,IF(AND('[1]LMP IN PPT'!$A9='[1]LMP IN MST'!$A7,'[1]LMP IN MST'!$Z7="DST",'[1]LMP IN MST'!$AA7="NORM",OR('[1]LMP IN MST'!$AB7="MAR",'[1]LMP IN MST'!$AB7="",'[1]LMP IN MST'!$AB7="NOV")),'[1]LMP IN PPT'!F9,0))))</f>
        <v>44.390590000000003</v>
      </c>
      <c r="D7">
        <f>IF(AND('[1]LMP IN PPT'!$A9='[1]LMP IN MST'!$A7,'[1]LMP IN MST'!$Z7="ST",'[1]LMP IN MST'!$AA7="NORM",OR('[1]LMP IN MST'!$AB7="NOV",'[1]LMP IN MST'!$AB7="MAR",'[1]LMP IN MST'!$AB7="")),'[1]LMP IN PPT'!F9,IF(AND('[1]LMP IN PPT'!$A9='[1]LMP IN MST'!$A7,'[1]LMP IN MST'!$Z7="DST",'[1]LMP IN MST'!$AA7="FB",'[1]LMP IN MST'!$AB7="NOV"),'[1]LMP IN PPT'!G9,IF(AND('[1]LMP IN PPT'!$A9='[1]LMP IN MST'!$A7,'[1]LMP IN MST'!$Z7="DST",'[1]LMP IN MST'!$AA7="SF",'[1]LMP IN MST'!$AB7="MAR"),'[1]LMP IN PPT'!F9,IF(AND('[1]LMP IN PPT'!$A9='[1]LMP IN MST'!$A7,'[1]LMP IN MST'!$Z7="DST",'[1]LMP IN MST'!$AA7="NORM",'[1]LMP IN MST'!$AB7="NOV"),'[1]LMP IN PPT'!H9,IF(AND('[1]LMP IN PPT'!$A9='[1]LMP IN MST'!$A7,'[1]LMP IN MST'!$Z7="DST",'[1]LMP IN MST'!$AA7="NORM",OR('[1]LMP IN MST'!$AB7="MAR",'[1]LMP IN MST'!$AB7="")),'[1]LMP IN PPT'!G9,0)))))</f>
        <v>41.603760000000001</v>
      </c>
      <c r="E7">
        <f>IF(AND('[1]LMP IN PPT'!$A9='[1]LMP IN MST'!$A7,'[1]LMP IN MST'!$Z7="ST",'[1]LMP IN MST'!$AA7="NORM",OR('[1]LMP IN MST'!$AB7="MAR",'[1]LMP IN MST'!$AB7="")),'[1]LMP IN PPT'!G9,IF(AND('[1]LMP IN PPT'!$A9='[1]LMP IN MST'!$A7,'[1]LMP IN MST'!$Z7="DST",'[1]LMP IN MST'!$AA7="FB",'[1]LMP IN MST'!$AB7="NOV"),'[1]LMP IN PPT'!H9,IF(AND('[1]LMP IN PPT'!$A9='[1]LMP IN MST'!$A7,'[1]LMP IN MST'!$Z7="ST",'[1]LMP IN MST'!$AA7="NORM",'[1]LMP IN MST'!$AB7="NOV"),'[1]LMP IN PPT'!H9,IF(AND('[1]LMP IN PPT'!$A9='[1]LMP IN MST'!$A7,'[1]LMP IN MST'!$Z7="DST",'[1]LMP IN MST'!$AA7="SF",'[1]LMP IN MST'!$AB7="MAR"),'[1]LMP IN PPT'!H9,IF(AND('[1]LMP IN PPT'!$A9='[1]LMP IN MST'!$A7,'[1]LMP IN MST'!$Z7="DST",'[1]LMP IN MST'!$AA7="NORM",'[1]LMP IN MST'!$AB7="NOV"),'[1]LMP IN PPT'!I9,IF(AND('[1]LMP IN PPT'!$A9='[1]LMP IN MST'!$A7,'[1]LMP IN MST'!$Z7="DST",'[1]LMP IN MST'!$AA7="NORM",OR('[1]LMP IN MST'!$AB7="MAR",'[1]LMP IN MST'!$AB7="")),'[1]LMP IN PPT'!H9,0))))))</f>
        <v>40.880560000000003</v>
      </c>
      <c r="F7">
        <f>IF(AND('[1]LMP IN PPT'!$A9='[1]LMP IN MST'!$A7,'[1]LMP IN MST'!$Z7="ST",'[1]LMP IN MST'!$AA7="NORM",OR('[1]LMP IN MST'!$AB7="MAR",'[1]LMP IN MST'!$AB7="")),'[1]LMP IN PPT'!H9,IF(AND('[1]LMP IN PPT'!$A9='[1]LMP IN MST'!$A7,'[1]LMP IN MST'!$Z7="DST",'[1]LMP IN MST'!$AA7="FB",'[1]LMP IN MST'!$AB7="NOV"),'[1]LMP IN PPT'!I9,IF(AND('[1]LMP IN PPT'!$A9='[1]LMP IN MST'!$A7,'[1]LMP IN MST'!$Z7="ST",'[1]LMP IN MST'!$AA7="NORM",'[1]LMP IN MST'!$AB7="NOV"),'[1]LMP IN PPT'!I9,IF(AND('[1]LMP IN PPT'!$A9='[1]LMP IN MST'!$A7,'[1]LMP IN MST'!$Z7="DST",'[1]LMP IN MST'!$AA7="SF",'[1]LMP IN MST'!$AB7="MAR"),'[1]LMP IN PPT'!I9,IF(AND('[1]LMP IN PPT'!$A9='[1]LMP IN MST'!$A7,'[1]LMP IN MST'!$Z7="DST",'[1]LMP IN MST'!$AA7="NORM",'[1]LMP IN MST'!$AB7="NOV"),'[1]LMP IN PPT'!J9,IF(AND('[1]LMP IN PPT'!$A9='[1]LMP IN MST'!$A7,'[1]LMP IN MST'!$Z7="DST",'[1]LMP IN MST'!$AA7="NORM",OR('[1]LMP IN MST'!$AB7="MAR",'[1]LMP IN MST'!$AB7="")),'[1]LMP IN PPT'!I9,0))))))</f>
        <v>42.914290000000001</v>
      </c>
      <c r="G7">
        <f>IF(AND('[1]LMP IN PPT'!$A9='[1]LMP IN MST'!$A7,'[1]LMP IN MST'!$Z7="ST",'[1]LMP IN MST'!$AA7="NORM",OR('[1]LMP IN MST'!$AB7="MAR",'[1]LMP IN MST'!$AB7="")),'[1]LMP IN PPT'!I9,IF(AND('[1]LMP IN PPT'!$A9='[1]LMP IN MST'!$A7,'[1]LMP IN MST'!$Z7="DST",'[1]LMP IN MST'!$AA7="FB",'[1]LMP IN MST'!$AB7="NOV"),'[1]LMP IN PPT'!J9,IF(AND('[1]LMP IN PPT'!$A9='[1]LMP IN MST'!$A7,'[1]LMP IN MST'!$Z7="ST",'[1]LMP IN MST'!$AA7="NORM",'[1]LMP IN MST'!$AB7="NOV"),'[1]LMP IN PPT'!J9,IF(AND('[1]LMP IN PPT'!$A9='[1]LMP IN MST'!$A7,'[1]LMP IN MST'!$Z7="DST",'[1]LMP IN MST'!$AA7="SF",'[1]LMP IN MST'!$AB7="MAR"),'[1]LMP IN PPT'!J9,IF(AND('[1]LMP IN PPT'!$A9='[1]LMP IN MST'!$A7,'[1]LMP IN MST'!$Z7="DST",'[1]LMP IN MST'!$AA7="NORM",'[1]LMP IN MST'!$AB7="NOV"),'[1]LMP IN PPT'!K9,IF(AND('[1]LMP IN PPT'!$A9='[1]LMP IN MST'!$A7,'[1]LMP IN MST'!$Z7="DST",'[1]LMP IN MST'!$AA7="NORM",OR('[1]LMP IN MST'!$AB7="MAR",'[1]LMP IN MST'!$AB7="")),'[1]LMP IN PPT'!J9,0))))))</f>
        <v>47.786320000000003</v>
      </c>
      <c r="H7">
        <f>IF(AND('[1]LMP IN PPT'!$A9='[1]LMP IN MST'!$A7,'[1]LMP IN MST'!$Z7="ST",'[1]LMP IN MST'!$AA7="NORM",OR('[1]LMP IN MST'!$AB7="MAR",'[1]LMP IN MST'!$AB7="")),'[1]LMP IN PPT'!J9,IF(AND('[1]LMP IN PPT'!$A9='[1]LMP IN MST'!$A7,'[1]LMP IN MST'!$Z7="DST",'[1]LMP IN MST'!$AA7="FB",'[1]LMP IN MST'!$AB7="NOV"),'[1]LMP IN PPT'!K9,IF(AND('[1]LMP IN PPT'!$A9='[1]LMP IN MST'!$A7,'[1]LMP IN MST'!$Z7="ST",'[1]LMP IN MST'!$AA7="NORM",'[1]LMP IN MST'!$AB7="NOV"),'[1]LMP IN PPT'!K9,IF(AND('[1]LMP IN PPT'!$A9='[1]LMP IN MST'!$A7,'[1]LMP IN MST'!$Z7="DST",'[1]LMP IN MST'!$AA7="SF",'[1]LMP IN MST'!$AB7="MAR"),'[1]LMP IN PPT'!K9,IF(AND('[1]LMP IN PPT'!$A9='[1]LMP IN MST'!$A7,'[1]LMP IN MST'!$Z7="DST",'[1]LMP IN MST'!$AA7="NORM",'[1]LMP IN MST'!$AB7="NOV"),'[1]LMP IN PPT'!L9,IF(AND('[1]LMP IN PPT'!$A9='[1]LMP IN MST'!$A7,'[1]LMP IN MST'!$Z7="DST",'[1]LMP IN MST'!$AA7="NORM",OR('[1]LMP IN MST'!$AB7="MAR",'[1]LMP IN MST'!$AB7="")),'[1]LMP IN PPT'!K9,0))))))</f>
        <v>54.977400000000003</v>
      </c>
      <c r="I7">
        <f>IF(AND('[1]LMP IN PPT'!$A9='[1]LMP IN MST'!$A7,'[1]LMP IN MST'!$Z7="ST",'[1]LMP IN MST'!$AA7="NORM",OR('[1]LMP IN MST'!$AB7="MAR",'[1]LMP IN MST'!$AB7="")),'[1]LMP IN PPT'!K9,IF(AND('[1]LMP IN PPT'!$A9='[1]LMP IN MST'!$A7,'[1]LMP IN MST'!$Z7="DST",'[1]LMP IN MST'!$AA7="FB",'[1]LMP IN MST'!$AB7="NOV"),'[1]LMP IN PPT'!L9,IF(AND('[1]LMP IN PPT'!$A9='[1]LMP IN MST'!$A7,'[1]LMP IN MST'!$Z7="ST",'[1]LMP IN MST'!$AA7="NORM",'[1]LMP IN MST'!$AB7="NOV"),'[1]LMP IN PPT'!L9,IF(AND('[1]LMP IN PPT'!$A9='[1]LMP IN MST'!$A7,'[1]LMP IN MST'!$Z7="DST",'[1]LMP IN MST'!$AA7="SF",'[1]LMP IN MST'!$AB7="MAR"),'[1]LMP IN PPT'!L9,IF(AND('[1]LMP IN PPT'!$A9='[1]LMP IN MST'!$A7,'[1]LMP IN MST'!$Z7="DST",'[1]LMP IN MST'!$AA7="NORM",'[1]LMP IN MST'!$AB7="NOV"),'[1]LMP IN PPT'!M9,IF(AND('[1]LMP IN PPT'!$A9='[1]LMP IN MST'!$A7,'[1]LMP IN MST'!$Z7="DST",'[1]LMP IN MST'!$AA7="NORM",OR('[1]LMP IN MST'!$AB7="MAR",'[1]LMP IN MST'!$AB7="")),'[1]LMP IN PPT'!L9,0))))))</f>
        <v>60.016100000000002</v>
      </c>
      <c r="J7">
        <f>IF(AND('[1]LMP IN PPT'!$A9='[1]LMP IN MST'!$A7,'[1]LMP IN MST'!$Z7="ST",'[1]LMP IN MST'!$AA7="NORM",OR('[1]LMP IN MST'!$AB7="MAR",'[1]LMP IN MST'!$AB7="")),'[1]LMP IN PPT'!L9,IF(AND('[1]LMP IN PPT'!$A9='[1]LMP IN MST'!$A7,'[1]LMP IN MST'!$Z7="DST",'[1]LMP IN MST'!$AA7="FB",'[1]LMP IN MST'!$AB7="NOV"),'[1]LMP IN PPT'!M9,IF(AND('[1]LMP IN PPT'!$A9='[1]LMP IN MST'!$A7,'[1]LMP IN MST'!$Z7="ST",'[1]LMP IN MST'!$AA7="NORM",'[1]LMP IN MST'!$AB7="NOV"),'[1]LMP IN PPT'!M9,IF(AND('[1]LMP IN PPT'!$A9='[1]LMP IN MST'!$A7,'[1]LMP IN MST'!$Z7="DST",'[1]LMP IN MST'!$AA7="SF",'[1]LMP IN MST'!$AB7="MAR"),'[1]LMP IN PPT'!M9,IF(AND('[1]LMP IN PPT'!$A9='[1]LMP IN MST'!$A7,'[1]LMP IN MST'!$Z7="DST",'[1]LMP IN MST'!$AA7="NORM",'[1]LMP IN MST'!$AB7="NOV"),'[1]LMP IN PPT'!N9,IF(AND('[1]LMP IN PPT'!$A9='[1]LMP IN MST'!$A7,'[1]LMP IN MST'!$Z7="DST",'[1]LMP IN MST'!$AA7="NORM",OR('[1]LMP IN MST'!$AB7="MAR",'[1]LMP IN MST'!$AB7="")),'[1]LMP IN PPT'!M9,0))))))</f>
        <v>32.394979999999997</v>
      </c>
      <c r="K7">
        <f>IF(AND('[1]LMP IN PPT'!$A9='[1]LMP IN MST'!$A7,'[1]LMP IN MST'!$Z7="ST",'[1]LMP IN MST'!$AA7="NORM",OR('[1]LMP IN MST'!$AB7="MAR",'[1]LMP IN MST'!$AB7="")),'[1]LMP IN PPT'!M9,IF(AND('[1]LMP IN PPT'!$A9='[1]LMP IN MST'!$A7,'[1]LMP IN MST'!$Z7="DST",'[1]LMP IN MST'!$AA7="FB",'[1]LMP IN MST'!$AB7="NOV"),'[1]LMP IN PPT'!N9,IF(AND('[1]LMP IN PPT'!$A9='[1]LMP IN MST'!$A7,'[1]LMP IN MST'!$Z7="ST",'[1]LMP IN MST'!$AA7="NORM",'[1]LMP IN MST'!$AB7="NOV"),'[1]LMP IN PPT'!N9,IF(AND('[1]LMP IN PPT'!$A9='[1]LMP IN MST'!$A7,'[1]LMP IN MST'!$Z7="DST",'[1]LMP IN MST'!$AA7="SF",'[1]LMP IN MST'!$AB7="MAR"),'[1]LMP IN PPT'!N9,IF(AND('[1]LMP IN PPT'!$A9='[1]LMP IN MST'!$A7,'[1]LMP IN MST'!$Z7="DST",'[1]LMP IN MST'!$AA7="NORM",'[1]LMP IN MST'!$AB7="NOV"),'[1]LMP IN PPT'!O9,IF(AND('[1]LMP IN PPT'!$A9='[1]LMP IN MST'!$A7,'[1]LMP IN MST'!$Z7="DST",'[1]LMP IN MST'!$AA7="NORM",OR('[1]LMP IN MST'!$AB7="MAR",'[1]LMP IN MST'!$AB7="")),'[1]LMP IN PPT'!N9,0))))))</f>
        <v>9.76234</v>
      </c>
      <c r="L7">
        <f>IF(AND('[1]LMP IN PPT'!$A9='[1]LMP IN MST'!$A7,'[1]LMP IN MST'!$Z7="ST",'[1]LMP IN MST'!$AA7="NORM",OR('[1]LMP IN MST'!$AB7="MAR",'[1]LMP IN MST'!$AB7="")),'[1]LMP IN PPT'!N9,IF(AND('[1]LMP IN PPT'!$A9='[1]LMP IN MST'!$A7,'[1]LMP IN MST'!$Z7="DST",'[1]LMP IN MST'!$AA7="FB",'[1]LMP IN MST'!$AB7="NOV"),'[1]LMP IN PPT'!O9,IF(AND('[1]LMP IN PPT'!$A9='[1]LMP IN MST'!$A7,'[1]LMP IN MST'!$Z7="ST",'[1]LMP IN MST'!$AA7="NORM",'[1]LMP IN MST'!$AB7="NOV"),'[1]LMP IN PPT'!O9,IF(AND('[1]LMP IN PPT'!$A9='[1]LMP IN MST'!$A7,'[1]LMP IN MST'!$Z7="DST",'[1]LMP IN MST'!$AA7="SF",'[1]LMP IN MST'!$AB7="MAR"),'[1]LMP IN PPT'!O9,IF(AND('[1]LMP IN PPT'!$A9='[1]LMP IN MST'!$A7,'[1]LMP IN MST'!$Z7="DST",'[1]LMP IN MST'!$AA7="NORM",'[1]LMP IN MST'!$AB7="NOV"),'[1]LMP IN PPT'!P9,IF(AND('[1]LMP IN PPT'!$A9='[1]LMP IN MST'!$A7,'[1]LMP IN MST'!$Z7="DST",'[1]LMP IN MST'!$AA7="NORM",OR('[1]LMP IN MST'!$AB7="MAR",'[1]LMP IN MST'!$AB7="")),'[1]LMP IN PPT'!O9,0))))))</f>
        <v>1.169</v>
      </c>
      <c r="M7">
        <f>IF(AND('[1]LMP IN PPT'!$A9='[1]LMP IN MST'!$A7,'[1]LMP IN MST'!$Z7="ST",'[1]LMP IN MST'!$AA7="NORM",OR('[1]LMP IN MST'!$AB7="MAR",'[1]LMP IN MST'!$AB7="")),'[1]LMP IN PPT'!O9,IF(AND('[1]LMP IN PPT'!$A9='[1]LMP IN MST'!$A7,'[1]LMP IN MST'!$Z7="DST",'[1]LMP IN MST'!$AA7="FB",'[1]LMP IN MST'!$AB7="NOV"),'[1]LMP IN PPT'!P9,IF(AND('[1]LMP IN PPT'!$A9='[1]LMP IN MST'!$A7,'[1]LMP IN MST'!$Z7="ST",'[1]LMP IN MST'!$AA7="NORM",'[1]LMP IN MST'!$AB7="NOV"),'[1]LMP IN PPT'!P9,IF(AND('[1]LMP IN PPT'!$A9='[1]LMP IN MST'!$A7,'[1]LMP IN MST'!$Z7="DST",'[1]LMP IN MST'!$AA7="SF",'[1]LMP IN MST'!$AB7="MAR"),'[1]LMP IN PPT'!P9,IF(AND('[1]LMP IN PPT'!$A9='[1]LMP IN MST'!$A7,'[1]LMP IN MST'!$Z7="DST",'[1]LMP IN MST'!$AA7="NORM",'[1]LMP IN MST'!$AB7="NOV"),'[1]LMP IN PPT'!Q9,IF(AND('[1]LMP IN PPT'!$A9='[1]LMP IN MST'!$A7,'[1]LMP IN MST'!$Z7="DST",'[1]LMP IN MST'!$AA7="NORM",OR('[1]LMP IN MST'!$AB7="MAR",'[1]LMP IN MST'!$AB7="")),'[1]LMP IN PPT'!P9,0))))))</f>
        <v>-0.14663999999999999</v>
      </c>
      <c r="N7">
        <f>IF(AND('[1]LMP IN PPT'!$A9='[1]LMP IN MST'!$A7,'[1]LMP IN MST'!$Z7="ST",'[1]LMP IN MST'!$AA7="NORM",OR('[1]LMP IN MST'!$AB7="MAR",'[1]LMP IN MST'!$AB7="")),'[1]LMP IN PPT'!P9,IF(AND('[1]LMP IN PPT'!$A9='[1]LMP IN MST'!$A7,'[1]LMP IN MST'!$Z7="DST",'[1]LMP IN MST'!$AA7="FB",'[1]LMP IN MST'!$AB7="NOV"),'[1]LMP IN PPT'!Q9,IF(AND('[1]LMP IN PPT'!$A9='[1]LMP IN MST'!$A7,'[1]LMP IN MST'!$Z7="ST",'[1]LMP IN MST'!$AA7="NORM",'[1]LMP IN MST'!$AB7="NOV"),'[1]LMP IN PPT'!Q9,IF(AND('[1]LMP IN PPT'!$A9='[1]LMP IN MST'!$A7,'[1]LMP IN MST'!$Z7="DST",'[1]LMP IN MST'!$AA7="SF",'[1]LMP IN MST'!$AB7="MAR"),'[1]LMP IN PPT'!Q9,IF(AND('[1]LMP IN PPT'!$A9='[1]LMP IN MST'!$A7,'[1]LMP IN MST'!$Z7="DST",'[1]LMP IN MST'!$AA7="NORM",'[1]LMP IN MST'!$AB7="NOV"),'[1]LMP IN PPT'!R9,IF(AND('[1]LMP IN PPT'!$A9='[1]LMP IN MST'!$A7,'[1]LMP IN MST'!$Z7="DST",'[1]LMP IN MST'!$AA7="NORM",OR('[1]LMP IN MST'!$AB7="MAR",'[1]LMP IN MST'!$AB7="")),'[1]LMP IN PPT'!Q9,0))))))</f>
        <v>-1.3086</v>
      </c>
      <c r="O7">
        <f>IF(AND('[1]LMP IN PPT'!$A9='[1]LMP IN MST'!$A7,'[1]LMP IN MST'!$Z7="ST",'[1]LMP IN MST'!$AA7="NORM",OR('[1]LMP IN MST'!$AB7="MAR",'[1]LMP IN MST'!$AB7="")),'[1]LMP IN PPT'!Q9,IF(AND('[1]LMP IN PPT'!$A9='[1]LMP IN MST'!$A7,'[1]LMP IN MST'!$Z7="DST",'[1]LMP IN MST'!$AA7="FB",'[1]LMP IN MST'!$AB7="NOV"),'[1]LMP IN PPT'!R9,IF(AND('[1]LMP IN PPT'!$A9='[1]LMP IN MST'!$A7,'[1]LMP IN MST'!$Z7="ST",'[1]LMP IN MST'!$AA7="NORM",'[1]LMP IN MST'!$AB7="NOV"),'[1]LMP IN PPT'!R9,IF(AND('[1]LMP IN PPT'!$A9='[1]LMP IN MST'!$A7,'[1]LMP IN MST'!$Z7="DST",'[1]LMP IN MST'!$AA7="SF",'[1]LMP IN MST'!$AB7="MAR"),'[1]LMP IN PPT'!R9,IF(AND('[1]LMP IN PPT'!$A9='[1]LMP IN MST'!$A7,'[1]LMP IN MST'!$Z7="DST",'[1]LMP IN MST'!$AA7="NORM",'[1]LMP IN MST'!$AB7="NOV"),'[1]LMP IN PPT'!S9,IF(AND('[1]LMP IN PPT'!$A9='[1]LMP IN MST'!$A7,'[1]LMP IN MST'!$Z7="DST",'[1]LMP IN MST'!$AA7="NORM",OR('[1]LMP IN MST'!$AB7="MAR",'[1]LMP IN MST'!$AB7="")),'[1]LMP IN PPT'!R9,0))))))</f>
        <v>-1.2392099999999999</v>
      </c>
      <c r="P7">
        <f>IF(AND('[1]LMP IN PPT'!$A9='[1]LMP IN MST'!$A7,'[1]LMP IN MST'!$Z7="ST",'[1]LMP IN MST'!$AA7="NORM",OR('[1]LMP IN MST'!$AB7="MAR",'[1]LMP IN MST'!$AB7="")),'[1]LMP IN PPT'!R9,IF(AND('[1]LMP IN PPT'!$A9='[1]LMP IN MST'!$A7,'[1]LMP IN MST'!$Z7="DST",'[1]LMP IN MST'!$AA7="FB",'[1]LMP IN MST'!$AB7="NOV"),'[1]LMP IN PPT'!S9,IF(AND('[1]LMP IN PPT'!$A9='[1]LMP IN MST'!$A7,'[1]LMP IN MST'!$Z7="ST",'[1]LMP IN MST'!$AA7="NORM",'[1]LMP IN MST'!$AB7="NOV"),'[1]LMP IN PPT'!S9,IF(AND('[1]LMP IN PPT'!$A9='[1]LMP IN MST'!$A7,'[1]LMP IN MST'!$Z7="DST",'[1]LMP IN MST'!$AA7="SF",'[1]LMP IN MST'!$AB7="MAR"),'[1]LMP IN PPT'!S9,IF(AND('[1]LMP IN PPT'!$A9='[1]LMP IN MST'!$A7,'[1]LMP IN MST'!$Z7="DST",'[1]LMP IN MST'!$AA7="NORM",'[1]LMP IN MST'!$AB7="NOV"),'[1]LMP IN PPT'!T9,IF(AND('[1]LMP IN PPT'!$A9='[1]LMP IN MST'!$A7,'[1]LMP IN MST'!$Z7="DST",'[1]LMP IN MST'!$AA7="NORM",OR('[1]LMP IN MST'!$AB7="MAR",'[1]LMP IN MST'!$AB7="")),'[1]LMP IN PPT'!S9,0))))))</f>
        <v>-2.7673800000000002</v>
      </c>
      <c r="Q7">
        <f>IF(AND('[1]LMP IN PPT'!$A9='[1]LMP IN MST'!$A7,'[1]LMP IN MST'!$Z7="ST",'[1]LMP IN MST'!$AA7="NORM",OR('[1]LMP IN MST'!$AB7="MAR",'[1]LMP IN MST'!$AB7="")),'[1]LMP IN PPT'!S9,IF(AND('[1]LMP IN PPT'!$A9='[1]LMP IN MST'!$A7,'[1]LMP IN MST'!$Z7="DST",'[1]LMP IN MST'!$AA7="FB",'[1]LMP IN MST'!$AB7="NOV"),'[1]LMP IN PPT'!T9,IF(AND('[1]LMP IN PPT'!$A9='[1]LMP IN MST'!$A7,'[1]LMP IN MST'!$Z7="ST",'[1]LMP IN MST'!$AA7="NORM",'[1]LMP IN MST'!$AB7="NOV"),'[1]LMP IN PPT'!T9,IF(AND('[1]LMP IN PPT'!$A9='[1]LMP IN MST'!$A7,'[1]LMP IN MST'!$Z7="DST",'[1]LMP IN MST'!$AA7="SF",'[1]LMP IN MST'!$AB7="MAR"),'[1]LMP IN PPT'!T9,IF(AND('[1]LMP IN PPT'!$A9='[1]LMP IN MST'!$A7,'[1]LMP IN MST'!$Z7="DST",'[1]LMP IN MST'!$AA7="NORM",'[1]LMP IN MST'!$AB7="NOV"),'[1]LMP IN PPT'!U9,IF(AND('[1]LMP IN PPT'!$A9='[1]LMP IN MST'!$A7,'[1]LMP IN MST'!$Z7="DST",'[1]LMP IN MST'!$AA7="NORM",OR('[1]LMP IN MST'!$AB7="MAR",'[1]LMP IN MST'!$AB7="")),'[1]LMP IN PPT'!T9,0))))))</f>
        <v>2.37155</v>
      </c>
      <c r="R7">
        <f>IF(AND('[1]LMP IN PPT'!$A9='[1]LMP IN MST'!$A7,'[1]LMP IN MST'!$Z7="ST",'[1]LMP IN MST'!$AA7="NORM",OR('[1]LMP IN MST'!$AB7="MAR",'[1]LMP IN MST'!$AB7="")),'[1]LMP IN PPT'!T9,IF(AND('[1]LMP IN PPT'!$A9='[1]LMP IN MST'!$A7,'[1]LMP IN MST'!$Z7="DST",'[1]LMP IN MST'!$AA7="FB",'[1]LMP IN MST'!$AB7="NOV"),'[1]LMP IN PPT'!U9,IF(AND('[1]LMP IN PPT'!$A9='[1]LMP IN MST'!$A7,'[1]LMP IN MST'!$Z7="ST",'[1]LMP IN MST'!$AA7="NORM",'[1]LMP IN MST'!$AB7="NOV"),'[1]LMP IN PPT'!U9,IF(AND('[1]LMP IN PPT'!$A9='[1]LMP IN MST'!$A7,'[1]LMP IN MST'!$Z7="DST",'[1]LMP IN MST'!$AA7="SF",'[1]LMP IN MST'!$AB7="MAR"),'[1]LMP IN PPT'!U9,IF(AND('[1]LMP IN PPT'!$A9='[1]LMP IN MST'!$A7,'[1]LMP IN MST'!$Z7="DST",'[1]LMP IN MST'!$AA7="NORM",'[1]LMP IN MST'!$AB7="NOV"),'[1]LMP IN PPT'!V9,IF(AND('[1]LMP IN PPT'!$A9='[1]LMP IN MST'!$A7,'[1]LMP IN MST'!$Z7="DST",'[1]LMP IN MST'!$AA7="NORM",OR('[1]LMP IN MST'!$AB7="MAR",'[1]LMP IN MST'!$AB7="")),'[1]LMP IN PPT'!U9,0))))))</f>
        <v>17.072120000000002</v>
      </c>
      <c r="S7">
        <f>IF(AND('[1]LMP IN PPT'!$A9='[1]LMP IN MST'!$A7,'[1]LMP IN MST'!$Z7="ST",'[1]LMP IN MST'!$AA7="NORM",OR('[1]LMP IN MST'!$AB7="MAR",'[1]LMP IN MST'!$AB7="")),'[1]LMP IN PPT'!U9,IF(AND('[1]LMP IN PPT'!$A9='[1]LMP IN MST'!$A7,'[1]LMP IN MST'!$Z7="DST",'[1]LMP IN MST'!$AA7="FB",'[1]LMP IN MST'!$AB7="NOV"),'[1]LMP IN PPT'!V9,IF(AND('[1]LMP IN PPT'!$A9='[1]LMP IN MST'!$A7,'[1]LMP IN MST'!$Z7="ST",'[1]LMP IN MST'!$AA7="NORM",'[1]LMP IN MST'!$AB7="NOV"),'[1]LMP IN PPT'!V9,IF(AND('[1]LMP IN PPT'!$A9='[1]LMP IN MST'!$A7,'[1]LMP IN MST'!$Z7="DST",'[1]LMP IN MST'!$AA7="SF",'[1]LMP IN MST'!$AB7="MAR"),'[1]LMP IN PPT'!V9,IF(AND('[1]LMP IN PPT'!$A9='[1]LMP IN MST'!$A7,'[1]LMP IN MST'!$Z7="DST",'[1]LMP IN MST'!$AA7="NORM",'[1]LMP IN MST'!$AB7="NOV"),'[1]LMP IN PPT'!W9,IF(AND('[1]LMP IN PPT'!$A9='[1]LMP IN MST'!$A7,'[1]LMP IN MST'!$Z7="DST",'[1]LMP IN MST'!$AA7="NORM",OR('[1]LMP IN MST'!$AB7="MAR",'[1]LMP IN MST'!$AB7="")),'[1]LMP IN PPT'!V9,0))))))</f>
        <v>37.581789999999998</v>
      </c>
      <c r="T7">
        <f>IF(AND('[1]LMP IN PPT'!$A9='[1]LMP IN MST'!$A7,'[1]LMP IN MST'!$Z7="ST",'[1]LMP IN MST'!$AA7="NORM",OR('[1]LMP IN MST'!$AB7="MAR",'[1]LMP IN MST'!$AB7="")),'[1]LMP IN PPT'!V9,IF(AND('[1]LMP IN PPT'!$A9='[1]LMP IN MST'!$A7,'[1]LMP IN MST'!$Z7="DST",'[1]LMP IN MST'!$AA7="FB",'[1]LMP IN MST'!$AB7="NOV"),'[1]LMP IN PPT'!W9,IF(AND('[1]LMP IN PPT'!$A9='[1]LMP IN MST'!$A7,'[1]LMP IN MST'!$Z7="ST",'[1]LMP IN MST'!$AA7="NORM",'[1]LMP IN MST'!$AB7="NOV"),'[1]LMP IN PPT'!W9,IF(AND('[1]LMP IN PPT'!$A9='[1]LMP IN MST'!$A7,'[1]LMP IN MST'!$Z7="DST",'[1]LMP IN MST'!$AA7="SF",'[1]LMP IN MST'!$AB7="MAR"),'[1]LMP IN PPT'!W9,IF(AND('[1]LMP IN PPT'!$A9='[1]LMP IN MST'!$A7,'[1]LMP IN MST'!$Z7="DST",'[1]LMP IN MST'!$AA7="NORM",'[1]LMP IN MST'!$AB7="NOV"),'[1]LMP IN PPT'!X9,IF(AND('[1]LMP IN PPT'!$A9='[1]LMP IN MST'!$A7,'[1]LMP IN MST'!$Z7="DST",'[1]LMP IN MST'!$AA7="NORM",OR('[1]LMP IN MST'!$AB7="MAR",'[1]LMP IN MST'!$AB7="")),'[1]LMP IN PPT'!W9,0))))))</f>
        <v>52.819000000000003</v>
      </c>
      <c r="U7">
        <f>IF(AND('[1]LMP IN PPT'!$A9='[1]LMP IN MST'!$A7,'[1]LMP IN MST'!$Z7="ST",'[1]LMP IN MST'!$AA7="NORM",OR('[1]LMP IN MST'!$AB7="MAR",'[1]LMP IN MST'!$AB7="")),'[1]LMP IN PPT'!W9,IF(AND('[1]LMP IN PPT'!$A9='[1]LMP IN MST'!$A7,'[1]LMP IN MST'!$Z7="DST",'[1]LMP IN MST'!$AA7="FB",'[1]LMP IN MST'!$AB7="NOV"),'[1]LMP IN PPT'!X9,IF(AND('[1]LMP IN PPT'!$A9='[1]LMP IN MST'!$A7,'[1]LMP IN MST'!$Z7="ST",'[1]LMP IN MST'!$AA7="NORM",'[1]LMP IN MST'!$AB7="NOV"),'[1]LMP IN PPT'!X9,IF(AND('[1]LMP IN PPT'!$A9='[1]LMP IN MST'!$A7,'[1]LMP IN MST'!$Z7="DST",'[1]LMP IN MST'!$AA7="SF",'[1]LMP IN MST'!$AB7="MAR"),'[1]LMP IN PPT'!X9,IF(AND('[1]LMP IN PPT'!$A9='[1]LMP IN MST'!$A7,'[1]LMP IN MST'!$Z7="DST",'[1]LMP IN MST'!$AA7="NORM",'[1]LMP IN MST'!$AB7="NOV"),'[1]LMP IN PPT'!Y9,IF(AND('[1]LMP IN PPT'!$A9='[1]LMP IN MST'!$A7,'[1]LMP IN MST'!$Z7="DST",'[1]LMP IN MST'!$AA7="NORM",OR('[1]LMP IN MST'!$AB7="MAR",'[1]LMP IN MST'!$AB7="")),'[1]LMP IN PPT'!X9,0))))))</f>
        <v>53.75271</v>
      </c>
      <c r="V7">
        <f>IF(AND('[1]LMP IN PPT'!$A9='[1]LMP IN MST'!$A7,'[1]LMP IN MST'!$Z7="ST",'[1]LMP IN MST'!$AA7="NORM",OR('[1]LMP IN MST'!$AB7="MAR",'[1]LMP IN MST'!$AB7="")),'[1]LMP IN PPT'!X9,IF(AND('[1]LMP IN PPT'!$A9='[1]LMP IN MST'!$A7,'[1]LMP IN MST'!$Z7="DST",'[1]LMP IN MST'!$AA7="FB",'[1]LMP IN MST'!$AB7="NOV"),'[1]LMP IN PPT'!Y9,IF(AND('[1]LMP IN PPT'!$A9='[1]LMP IN MST'!$A7,'[1]LMP IN MST'!$Z7="ST",'[1]LMP IN MST'!$AA7="NORM",'[1]LMP IN MST'!$AB7="NOV"),'[1]LMP IN PPT'!Y9,IF(AND('[1]LMP IN PPT'!$A9='[1]LMP IN MST'!$A7,'[1]LMP IN MST'!$Z7="DST",'[1]LMP IN MST'!$AA7="SF",'[1]LMP IN MST'!$AB7="MAR"),'[1]LMP IN PPT'!Y9,IF(AND('[1]LMP IN PPT'!$A9='[1]LMP IN MST'!$A7,'[1]LMP IN MST'!$Z7="DST",'[1]LMP IN MST'!$AA7="NORM",'[1]LMP IN MST'!$AB7="NOV"),'[1]LMP IN PPT'!Z9,IF(AND('[1]LMP IN PPT'!$A9='[1]LMP IN MST'!$A7,'[1]LMP IN MST'!$Z7="DST",'[1]LMP IN MST'!$AA7="NORM",OR('[1]LMP IN MST'!$AB7="MAR",'[1]LMP IN MST'!$AB7="")),'[1]LMP IN PPT'!Y9,0))))))</f>
        <v>52.897060000000003</v>
      </c>
      <c r="W7">
        <f>IF(AND('[1]LMP IN PPT'!$A9='[1]LMP IN MST'!$A7,'[1]LMP IN MST'!$Z7="ST",'[1]LMP IN MST'!$AA7="NORM",OR('[1]LMP IN MST'!$AB7="MAR",'[1]LMP IN MST'!$AB7="")),'[1]LMP IN PPT'!Y9,IF(AND('[1]LMP IN PPT'!$A9='[1]LMP IN MST'!$A7,'[1]LMP IN MST'!$Z7="DST",'[1]LMP IN MST'!$AA7="FB",'[1]LMP IN MST'!$AB7="NOV"),'[1]LMP IN PPT'!Z9,IF(AND('[1]LMP IN PPT'!$A9='[1]LMP IN MST'!$A7,'[1]LMP IN MST'!$Z7="ST",'[1]LMP IN MST'!$AA7="NORM",'[1]LMP IN MST'!$AB7="NOV"),'[1]LMP IN PPT'!Z9,IF(AND('[1]LMP IN PPT'!$A9='[1]LMP IN MST'!$A7,'[1]LMP IN MST'!$Z7="DST",'[1]LMP IN MST'!$AA7="SF",'[1]LMP IN MST'!$AB7="MAR"),'[1]LMP IN PPT'!Z9,IF(AND('[1]LMP IN PPT'!$A9='[1]LMP IN MST'!$A7,'[1]LMP IN MST'!$Z7="DST",'[1]LMP IN MST'!$AA7="NORM",'[1]LMP IN MST'!$AB7="NOV"),'[1]LMP IN PPT'!AA9,IF(AND('[1]LMP IN PPT'!$A9='[1]LMP IN MST'!$A7,'[1]LMP IN MST'!$Z7="DST",'[1]LMP IN MST'!$AA7="NORM",OR('[1]LMP IN MST'!$AB7="MAR",'[1]LMP IN MST'!$AB7="")),'[1]LMP IN PPT'!Z9,0))))))</f>
        <v>52.778660000000002</v>
      </c>
      <c r="X7">
        <f>IF(AND('[1]LMP IN PPT'!$A9='[1]LMP IN MST'!$A7,'[1]LMP IN MST'!$Z7="ST",'[1]LMP IN MST'!$AA7="NORM",OR('[1]LMP IN MST'!$AB7="MAR",'[1]LMP IN MST'!$AB7="")),'[1]LMP IN PPT'!Z9,IF(AND('[1]LMP IN PPT'!$A9='[1]LMP IN MST'!$A7,'[1]LMP IN MST'!$Z7="DST",'[1]LMP IN MST'!$AA7="FB",'[1]LMP IN MST'!$AB7="NOV"),'[1]LMP IN PPT'!AA9,IF(AND('[1]LMP IN PPT'!$A9='[1]LMP IN MST'!$A7,'[1]LMP IN MST'!$Z7="ST",'[1]LMP IN MST'!$AA7="NORM",'[1]LMP IN MST'!$AB7="NOV"),'[1]LMP IN PPT'!AA9,IF(AND('[1]LMP IN PPT'!$A9='[1]LMP IN MST'!$A7,'[1]LMP IN MST'!$Z7="DST",'[1]LMP IN MST'!$AA7="SF",'[1]LMP IN MST'!$AB7="MAR"),'[1]LMP IN PPT'!AA9,IF(AND('[1]LMP IN PPT'!$A9='[1]LMP IN MST'!$A7,'[1]LMP IN MST'!$Z7="DST",'[1]LMP IN MST'!$AA7="NORM",'[1]LMP IN MST'!$AB7="NOV"),'[1]LMP IN PPT'!AB9,IF(AND('[1]LMP IN PPT'!$A9='[1]LMP IN MST'!$A7,'[1]LMP IN MST'!$Z7="DST",'[1]LMP IN MST'!$AA7="NORM",OR('[1]LMP IN MST'!$AB7="MAR",'[1]LMP IN MST'!$AB7="")),'[1]LMP IN PPT'!AA9,0))))))</f>
        <v>52.039119999999997</v>
      </c>
      <c r="Y7">
        <f>IF(AND('[1]LMP IN PPT'!$A9='[1]LMP IN MST'!$A7,'[1]LMP IN MST'!$Z7="ST",'[1]LMP IN MST'!$AA7="NORM",OR('[1]LMP IN MST'!$AB7="MAR",'[1]LMP IN MST'!$AB7="")),'[1]LMP IN PPT'!AA9,IF(AND('[1]LMP IN PPT'!$A9='[1]LMP IN MST'!$A7,'[1]LMP IN MST'!$Z7="DST",'[1]LMP IN MST'!$AA7="FB",'[1]LMP IN MST'!$AB7="NOV"),'[1]LMP IN PPT'!AB9,IF(AND('[1]LMP IN PPT'!$A9='[1]LMP IN MST'!$A7,'[1]LMP IN MST'!$Z7="ST",'[1]LMP IN MST'!$AA7="NORM",'[1]LMP IN MST'!$AB7="NOV"),'[1]LMP IN PPT'!AB9,IF(AND('[1]LMP IN PPT'!$A9='[1]LMP IN MST'!$A7,'[1]LMP IN MST'!$Z7="DST",'[1]LMP IN MST'!$AA7="SF",'[1]LMP IN MST'!$AB7="MAR"),'[1]LMP IN PPT'!AB9,IF(AND('[1]LMP IN PPT'!$A9='[1]LMP IN MST'!$A7,'[1]LMP IN MST'!$Z7="DST",'[1]LMP IN MST'!$AA7="NORM",'[1]LMP IN MST'!$AB7="NOV"),'[1]LMP IN PPT'!AC9,IF(AND('[1]LMP IN PPT'!$A9='[1]LMP IN MST'!$A7,'[1]LMP IN MST'!$Z7="DST",'[1]LMP IN MST'!$AA7="NORM",OR('[1]LMP IN MST'!$AB7="MAR",'[1]LMP IN MST'!$AB7="")),'[1]LMP IN PPT'!AB9,0))))))</f>
        <v>43.879260000000002</v>
      </c>
    </row>
    <row r="8" spans="1:25" x14ac:dyDescent="0.3">
      <c r="A8" s="1">
        <f t="shared" si="0"/>
        <v>45358</v>
      </c>
      <c r="B8">
        <f>IF(AND('[1]LMP IN PPT'!$A10='[1]LMP IN MST'!$A8,'[1]LMP IN MST'!$Z8="ST",'[1]LMP IN MST'!$AA8="NORM",'[1]LMP IN MST'!$AB8="NOV"),'[1]LMP IN PPT'!AC9,IF(AND('[1]LMP IN PPT'!$A10='[1]LMP IN MST'!$A8,'[1]LMP IN MST'!$Z8="ST",'[1]LMP IN MST'!$AA8="NORM",'[1]LMP IN MST'!$AB8="MAR"),'[1]LMP IN PPT'!AB9,IF(AND('[1]LMP IN PPT'!$A10='[1]LMP IN MST'!$A8,'[1]LMP IN MST'!$Z8="ST",'[1]LMP IN MST'!$AA8="NORM",'[1]LMP IN MST'!$AB8=""),'[1]LMP IN PPT'!AB9,IF(AND('[1]LMP IN PPT'!$A10='[1]LMP IN MST'!$A8,'[1]LMP IN MST'!$Z8="DST",'[1]LMP IN MST'!$AA8="FB",'[1]LMP IN MST'!$AB8="NOV"),'[1]LMP IN PPT'!E10,IF(AND('[1]LMP IN PPT'!$A10='[1]LMP IN MST'!$A8,'[1]LMP IN MST'!$Z8="DST",'[1]LMP IN MST'!$AA8="SF",'[1]LMP IN MST'!$AB8="MAR"),'[1]LMP IN PPT'!AB9,IF(AND('[1]LMP IN PPT'!$A10='[1]LMP IN MST'!$A8,'[1]LMP IN MST'!$Z8="DST",'[1]LMP IN MST'!$AA8="NORM",OR('[1]LMP IN MST'!$AB8="MAR",'[1]LMP IN MST'!$AB8="",'[1]LMP IN MST'!$AB8="NOV")),'[1]LMP IN PPT'!E10,0))))))</f>
        <v>41.990279999999998</v>
      </c>
      <c r="C8">
        <f>IF(AND('[1]LMP IN PPT'!$A10='[1]LMP IN MST'!$A8,'[1]LMP IN MST'!$Z8="ST",'[1]LMP IN MST'!$AA8="NORM",OR('[1]LMP IN MST'!$AB8="NOV",'[1]LMP IN MST'!$AB8="MAR",'[1]LMP IN MST'!$AB8="")),'[1]LMP IN PPT'!E10,IF(AND('[1]LMP IN PPT'!$A10='[1]LMP IN MST'!$A8,'[1]LMP IN MST'!$Z8="DST",'[1]LMP IN MST'!$AA8="FB",'[1]LMP IN MST'!$AB8="NOV"),'[1]LMP IN PPT'!F10,IF(AND('[1]LMP IN PPT'!$A10='[1]LMP IN MST'!$A8,'[1]LMP IN MST'!$Z8="DST",'[1]LMP IN MST'!$AA8="SF",'[1]LMP IN MST'!$AB8="MAR"),'[1]LMP IN PPT'!E10,IF(AND('[1]LMP IN PPT'!$A10='[1]LMP IN MST'!$A8,'[1]LMP IN MST'!$Z8="DST",'[1]LMP IN MST'!$AA8="NORM",OR('[1]LMP IN MST'!$AB8="MAR",'[1]LMP IN MST'!$AB8="",'[1]LMP IN MST'!$AB8="NOV")),'[1]LMP IN PPT'!F10,0))))</f>
        <v>40.641739999999999</v>
      </c>
      <c r="D8">
        <f>IF(AND('[1]LMP IN PPT'!$A10='[1]LMP IN MST'!$A8,'[1]LMP IN MST'!$Z8="ST",'[1]LMP IN MST'!$AA8="NORM",OR('[1]LMP IN MST'!$AB8="NOV",'[1]LMP IN MST'!$AB8="MAR",'[1]LMP IN MST'!$AB8="")),'[1]LMP IN PPT'!F10,IF(AND('[1]LMP IN PPT'!$A10='[1]LMP IN MST'!$A8,'[1]LMP IN MST'!$Z8="DST",'[1]LMP IN MST'!$AA8="FB",'[1]LMP IN MST'!$AB8="NOV"),'[1]LMP IN PPT'!G10,IF(AND('[1]LMP IN PPT'!$A10='[1]LMP IN MST'!$A8,'[1]LMP IN MST'!$Z8="DST",'[1]LMP IN MST'!$AA8="SF",'[1]LMP IN MST'!$AB8="MAR"),'[1]LMP IN PPT'!F10,IF(AND('[1]LMP IN PPT'!$A10='[1]LMP IN MST'!$A8,'[1]LMP IN MST'!$Z8="DST",'[1]LMP IN MST'!$AA8="NORM",'[1]LMP IN MST'!$AB8="NOV"),'[1]LMP IN PPT'!H10,IF(AND('[1]LMP IN PPT'!$A10='[1]LMP IN MST'!$A8,'[1]LMP IN MST'!$Z8="DST",'[1]LMP IN MST'!$AA8="NORM",OR('[1]LMP IN MST'!$AB8="MAR",'[1]LMP IN MST'!$AB8="")),'[1]LMP IN PPT'!G10,0)))))</f>
        <v>40.456980000000001</v>
      </c>
      <c r="E8">
        <f>IF(AND('[1]LMP IN PPT'!$A10='[1]LMP IN MST'!$A8,'[1]LMP IN MST'!$Z8="ST",'[1]LMP IN MST'!$AA8="NORM",OR('[1]LMP IN MST'!$AB8="MAR",'[1]LMP IN MST'!$AB8="")),'[1]LMP IN PPT'!G10,IF(AND('[1]LMP IN PPT'!$A10='[1]LMP IN MST'!$A8,'[1]LMP IN MST'!$Z8="DST",'[1]LMP IN MST'!$AA8="FB",'[1]LMP IN MST'!$AB8="NOV"),'[1]LMP IN PPT'!H10,IF(AND('[1]LMP IN PPT'!$A10='[1]LMP IN MST'!$A8,'[1]LMP IN MST'!$Z8="ST",'[1]LMP IN MST'!$AA8="NORM",'[1]LMP IN MST'!$AB8="NOV"),'[1]LMP IN PPT'!H10,IF(AND('[1]LMP IN PPT'!$A10='[1]LMP IN MST'!$A8,'[1]LMP IN MST'!$Z8="DST",'[1]LMP IN MST'!$AA8="SF",'[1]LMP IN MST'!$AB8="MAR"),'[1]LMP IN PPT'!H10,IF(AND('[1]LMP IN PPT'!$A10='[1]LMP IN MST'!$A8,'[1]LMP IN MST'!$Z8="DST",'[1]LMP IN MST'!$AA8="NORM",'[1]LMP IN MST'!$AB8="NOV"),'[1]LMP IN PPT'!I10,IF(AND('[1]LMP IN PPT'!$A10='[1]LMP IN MST'!$A8,'[1]LMP IN MST'!$Z8="DST",'[1]LMP IN MST'!$AA8="NORM",OR('[1]LMP IN MST'!$AB8="MAR",'[1]LMP IN MST'!$AB8="")),'[1]LMP IN PPT'!H10,0))))))</f>
        <v>38.304560000000002</v>
      </c>
      <c r="F8">
        <f>IF(AND('[1]LMP IN PPT'!$A10='[1]LMP IN MST'!$A8,'[1]LMP IN MST'!$Z8="ST",'[1]LMP IN MST'!$AA8="NORM",OR('[1]LMP IN MST'!$AB8="MAR",'[1]LMP IN MST'!$AB8="")),'[1]LMP IN PPT'!H10,IF(AND('[1]LMP IN PPT'!$A10='[1]LMP IN MST'!$A8,'[1]LMP IN MST'!$Z8="DST",'[1]LMP IN MST'!$AA8="FB",'[1]LMP IN MST'!$AB8="NOV"),'[1]LMP IN PPT'!I10,IF(AND('[1]LMP IN PPT'!$A10='[1]LMP IN MST'!$A8,'[1]LMP IN MST'!$Z8="ST",'[1]LMP IN MST'!$AA8="NORM",'[1]LMP IN MST'!$AB8="NOV"),'[1]LMP IN PPT'!I10,IF(AND('[1]LMP IN PPT'!$A10='[1]LMP IN MST'!$A8,'[1]LMP IN MST'!$Z8="DST",'[1]LMP IN MST'!$AA8="SF",'[1]LMP IN MST'!$AB8="MAR"),'[1]LMP IN PPT'!I10,IF(AND('[1]LMP IN PPT'!$A10='[1]LMP IN MST'!$A8,'[1]LMP IN MST'!$Z8="DST",'[1]LMP IN MST'!$AA8="NORM",'[1]LMP IN MST'!$AB8="NOV"),'[1]LMP IN PPT'!J10,IF(AND('[1]LMP IN PPT'!$A10='[1]LMP IN MST'!$A8,'[1]LMP IN MST'!$Z8="DST",'[1]LMP IN MST'!$AA8="NORM",OR('[1]LMP IN MST'!$AB8="MAR",'[1]LMP IN MST'!$AB8="")),'[1]LMP IN PPT'!I10,0))))))</f>
        <v>38.015300000000003</v>
      </c>
      <c r="G8">
        <f>IF(AND('[1]LMP IN PPT'!$A10='[1]LMP IN MST'!$A8,'[1]LMP IN MST'!$Z8="ST",'[1]LMP IN MST'!$AA8="NORM",OR('[1]LMP IN MST'!$AB8="MAR",'[1]LMP IN MST'!$AB8="")),'[1]LMP IN PPT'!I10,IF(AND('[1]LMP IN PPT'!$A10='[1]LMP IN MST'!$A8,'[1]LMP IN MST'!$Z8="DST",'[1]LMP IN MST'!$AA8="FB",'[1]LMP IN MST'!$AB8="NOV"),'[1]LMP IN PPT'!J10,IF(AND('[1]LMP IN PPT'!$A10='[1]LMP IN MST'!$A8,'[1]LMP IN MST'!$Z8="ST",'[1]LMP IN MST'!$AA8="NORM",'[1]LMP IN MST'!$AB8="NOV"),'[1]LMP IN PPT'!J10,IF(AND('[1]LMP IN PPT'!$A10='[1]LMP IN MST'!$A8,'[1]LMP IN MST'!$Z8="DST",'[1]LMP IN MST'!$AA8="SF",'[1]LMP IN MST'!$AB8="MAR"),'[1]LMP IN PPT'!J10,IF(AND('[1]LMP IN PPT'!$A10='[1]LMP IN MST'!$A8,'[1]LMP IN MST'!$Z8="DST",'[1]LMP IN MST'!$AA8="NORM",'[1]LMP IN MST'!$AB8="NOV"),'[1]LMP IN PPT'!K10,IF(AND('[1]LMP IN PPT'!$A10='[1]LMP IN MST'!$A8,'[1]LMP IN MST'!$Z8="DST",'[1]LMP IN MST'!$AA8="NORM",OR('[1]LMP IN MST'!$AB8="MAR",'[1]LMP IN MST'!$AB8="")),'[1]LMP IN PPT'!J10,0))))))</f>
        <v>40.197099999999999</v>
      </c>
      <c r="H8">
        <f>IF(AND('[1]LMP IN PPT'!$A10='[1]LMP IN MST'!$A8,'[1]LMP IN MST'!$Z8="ST",'[1]LMP IN MST'!$AA8="NORM",OR('[1]LMP IN MST'!$AB8="MAR",'[1]LMP IN MST'!$AB8="")),'[1]LMP IN PPT'!J10,IF(AND('[1]LMP IN PPT'!$A10='[1]LMP IN MST'!$A8,'[1]LMP IN MST'!$Z8="DST",'[1]LMP IN MST'!$AA8="FB",'[1]LMP IN MST'!$AB8="NOV"),'[1]LMP IN PPT'!K10,IF(AND('[1]LMP IN PPT'!$A10='[1]LMP IN MST'!$A8,'[1]LMP IN MST'!$Z8="ST",'[1]LMP IN MST'!$AA8="NORM",'[1]LMP IN MST'!$AB8="NOV"),'[1]LMP IN PPT'!K10,IF(AND('[1]LMP IN PPT'!$A10='[1]LMP IN MST'!$A8,'[1]LMP IN MST'!$Z8="DST",'[1]LMP IN MST'!$AA8="SF",'[1]LMP IN MST'!$AB8="MAR"),'[1]LMP IN PPT'!K10,IF(AND('[1]LMP IN PPT'!$A10='[1]LMP IN MST'!$A8,'[1]LMP IN MST'!$Z8="DST",'[1]LMP IN MST'!$AA8="NORM",'[1]LMP IN MST'!$AB8="NOV"),'[1]LMP IN PPT'!L10,IF(AND('[1]LMP IN PPT'!$A10='[1]LMP IN MST'!$A8,'[1]LMP IN MST'!$Z8="DST",'[1]LMP IN MST'!$AA8="NORM",OR('[1]LMP IN MST'!$AB8="MAR",'[1]LMP IN MST'!$AB8="")),'[1]LMP IN PPT'!K10,0))))))</f>
        <v>42.566940000000002</v>
      </c>
      <c r="I8">
        <f>IF(AND('[1]LMP IN PPT'!$A10='[1]LMP IN MST'!$A8,'[1]LMP IN MST'!$Z8="ST",'[1]LMP IN MST'!$AA8="NORM",OR('[1]LMP IN MST'!$AB8="MAR",'[1]LMP IN MST'!$AB8="")),'[1]LMP IN PPT'!K10,IF(AND('[1]LMP IN PPT'!$A10='[1]LMP IN MST'!$A8,'[1]LMP IN MST'!$Z8="DST",'[1]LMP IN MST'!$AA8="FB",'[1]LMP IN MST'!$AB8="NOV"),'[1]LMP IN PPT'!L10,IF(AND('[1]LMP IN PPT'!$A10='[1]LMP IN MST'!$A8,'[1]LMP IN MST'!$Z8="ST",'[1]LMP IN MST'!$AA8="NORM",'[1]LMP IN MST'!$AB8="NOV"),'[1]LMP IN PPT'!L10,IF(AND('[1]LMP IN PPT'!$A10='[1]LMP IN MST'!$A8,'[1]LMP IN MST'!$Z8="DST",'[1]LMP IN MST'!$AA8="SF",'[1]LMP IN MST'!$AB8="MAR"),'[1]LMP IN PPT'!L10,IF(AND('[1]LMP IN PPT'!$A10='[1]LMP IN MST'!$A8,'[1]LMP IN MST'!$Z8="DST",'[1]LMP IN MST'!$AA8="NORM",'[1]LMP IN MST'!$AB8="NOV"),'[1]LMP IN PPT'!M10,IF(AND('[1]LMP IN PPT'!$A10='[1]LMP IN MST'!$A8,'[1]LMP IN MST'!$Z8="DST",'[1]LMP IN MST'!$AA8="NORM",OR('[1]LMP IN MST'!$AB8="MAR",'[1]LMP IN MST'!$AB8="")),'[1]LMP IN PPT'!L10,0))))))</f>
        <v>51.456150000000001</v>
      </c>
      <c r="J8">
        <f>IF(AND('[1]LMP IN PPT'!$A10='[1]LMP IN MST'!$A8,'[1]LMP IN MST'!$Z8="ST",'[1]LMP IN MST'!$AA8="NORM",OR('[1]LMP IN MST'!$AB8="MAR",'[1]LMP IN MST'!$AB8="")),'[1]LMP IN PPT'!L10,IF(AND('[1]LMP IN PPT'!$A10='[1]LMP IN MST'!$A8,'[1]LMP IN MST'!$Z8="DST",'[1]LMP IN MST'!$AA8="FB",'[1]LMP IN MST'!$AB8="NOV"),'[1]LMP IN PPT'!M10,IF(AND('[1]LMP IN PPT'!$A10='[1]LMP IN MST'!$A8,'[1]LMP IN MST'!$Z8="ST",'[1]LMP IN MST'!$AA8="NORM",'[1]LMP IN MST'!$AB8="NOV"),'[1]LMP IN PPT'!M10,IF(AND('[1]LMP IN PPT'!$A10='[1]LMP IN MST'!$A8,'[1]LMP IN MST'!$Z8="DST",'[1]LMP IN MST'!$AA8="SF",'[1]LMP IN MST'!$AB8="MAR"),'[1]LMP IN PPT'!M10,IF(AND('[1]LMP IN PPT'!$A10='[1]LMP IN MST'!$A8,'[1]LMP IN MST'!$Z8="DST",'[1]LMP IN MST'!$AA8="NORM",'[1]LMP IN MST'!$AB8="NOV"),'[1]LMP IN PPT'!N10,IF(AND('[1]LMP IN PPT'!$A10='[1]LMP IN MST'!$A8,'[1]LMP IN MST'!$Z8="DST",'[1]LMP IN MST'!$AA8="NORM",OR('[1]LMP IN MST'!$AB8="MAR",'[1]LMP IN MST'!$AB8="")),'[1]LMP IN PPT'!M10,0))))))</f>
        <v>25.448969999999999</v>
      </c>
      <c r="K8">
        <f>IF(AND('[1]LMP IN PPT'!$A10='[1]LMP IN MST'!$A8,'[1]LMP IN MST'!$Z8="ST",'[1]LMP IN MST'!$AA8="NORM",OR('[1]LMP IN MST'!$AB8="MAR",'[1]LMP IN MST'!$AB8="")),'[1]LMP IN PPT'!M10,IF(AND('[1]LMP IN PPT'!$A10='[1]LMP IN MST'!$A8,'[1]LMP IN MST'!$Z8="DST",'[1]LMP IN MST'!$AA8="FB",'[1]LMP IN MST'!$AB8="NOV"),'[1]LMP IN PPT'!N10,IF(AND('[1]LMP IN PPT'!$A10='[1]LMP IN MST'!$A8,'[1]LMP IN MST'!$Z8="ST",'[1]LMP IN MST'!$AA8="NORM",'[1]LMP IN MST'!$AB8="NOV"),'[1]LMP IN PPT'!N10,IF(AND('[1]LMP IN PPT'!$A10='[1]LMP IN MST'!$A8,'[1]LMP IN MST'!$Z8="DST",'[1]LMP IN MST'!$AA8="SF",'[1]LMP IN MST'!$AB8="MAR"),'[1]LMP IN PPT'!N10,IF(AND('[1]LMP IN PPT'!$A10='[1]LMP IN MST'!$A8,'[1]LMP IN MST'!$Z8="DST",'[1]LMP IN MST'!$AA8="NORM",'[1]LMP IN MST'!$AB8="NOV"),'[1]LMP IN PPT'!O10,IF(AND('[1]LMP IN PPT'!$A10='[1]LMP IN MST'!$A8,'[1]LMP IN MST'!$Z8="DST",'[1]LMP IN MST'!$AA8="NORM",OR('[1]LMP IN MST'!$AB8="MAR",'[1]LMP IN MST'!$AB8="")),'[1]LMP IN PPT'!N10,0))))))</f>
        <v>-4.7925399999999998</v>
      </c>
      <c r="L8">
        <f>IF(AND('[1]LMP IN PPT'!$A10='[1]LMP IN MST'!$A8,'[1]LMP IN MST'!$Z8="ST",'[1]LMP IN MST'!$AA8="NORM",OR('[1]LMP IN MST'!$AB8="MAR",'[1]LMP IN MST'!$AB8="")),'[1]LMP IN PPT'!N10,IF(AND('[1]LMP IN PPT'!$A10='[1]LMP IN MST'!$A8,'[1]LMP IN MST'!$Z8="DST",'[1]LMP IN MST'!$AA8="FB",'[1]LMP IN MST'!$AB8="NOV"),'[1]LMP IN PPT'!O10,IF(AND('[1]LMP IN PPT'!$A10='[1]LMP IN MST'!$A8,'[1]LMP IN MST'!$Z8="ST",'[1]LMP IN MST'!$AA8="NORM",'[1]LMP IN MST'!$AB8="NOV"),'[1]LMP IN PPT'!O10,IF(AND('[1]LMP IN PPT'!$A10='[1]LMP IN MST'!$A8,'[1]LMP IN MST'!$Z8="DST",'[1]LMP IN MST'!$AA8="SF",'[1]LMP IN MST'!$AB8="MAR"),'[1]LMP IN PPT'!O10,IF(AND('[1]LMP IN PPT'!$A10='[1]LMP IN MST'!$A8,'[1]LMP IN MST'!$Z8="DST",'[1]LMP IN MST'!$AA8="NORM",'[1]LMP IN MST'!$AB8="NOV"),'[1]LMP IN PPT'!P10,IF(AND('[1]LMP IN PPT'!$A10='[1]LMP IN MST'!$A8,'[1]LMP IN MST'!$Z8="DST",'[1]LMP IN MST'!$AA8="NORM",OR('[1]LMP IN MST'!$AB8="MAR",'[1]LMP IN MST'!$AB8="")),'[1]LMP IN PPT'!O10,0))))))</f>
        <v>-15.50789</v>
      </c>
      <c r="M8">
        <f>IF(AND('[1]LMP IN PPT'!$A10='[1]LMP IN MST'!$A8,'[1]LMP IN MST'!$Z8="ST",'[1]LMP IN MST'!$AA8="NORM",OR('[1]LMP IN MST'!$AB8="MAR",'[1]LMP IN MST'!$AB8="")),'[1]LMP IN PPT'!O10,IF(AND('[1]LMP IN PPT'!$A10='[1]LMP IN MST'!$A8,'[1]LMP IN MST'!$Z8="DST",'[1]LMP IN MST'!$AA8="FB",'[1]LMP IN MST'!$AB8="NOV"),'[1]LMP IN PPT'!P10,IF(AND('[1]LMP IN PPT'!$A10='[1]LMP IN MST'!$A8,'[1]LMP IN MST'!$Z8="ST",'[1]LMP IN MST'!$AA8="NORM",'[1]LMP IN MST'!$AB8="NOV"),'[1]LMP IN PPT'!P10,IF(AND('[1]LMP IN PPT'!$A10='[1]LMP IN MST'!$A8,'[1]LMP IN MST'!$Z8="DST",'[1]LMP IN MST'!$AA8="SF",'[1]LMP IN MST'!$AB8="MAR"),'[1]LMP IN PPT'!P10,IF(AND('[1]LMP IN PPT'!$A10='[1]LMP IN MST'!$A8,'[1]LMP IN MST'!$Z8="DST",'[1]LMP IN MST'!$AA8="NORM",'[1]LMP IN MST'!$AB8="NOV"),'[1]LMP IN PPT'!Q10,IF(AND('[1]LMP IN PPT'!$A10='[1]LMP IN MST'!$A8,'[1]LMP IN MST'!$Z8="DST",'[1]LMP IN MST'!$AA8="NORM",OR('[1]LMP IN MST'!$AB8="MAR",'[1]LMP IN MST'!$AB8="")),'[1]LMP IN PPT'!P10,0))))))</f>
        <v>-20.30922</v>
      </c>
      <c r="N8">
        <f>IF(AND('[1]LMP IN PPT'!$A10='[1]LMP IN MST'!$A8,'[1]LMP IN MST'!$Z8="ST",'[1]LMP IN MST'!$AA8="NORM",OR('[1]LMP IN MST'!$AB8="MAR",'[1]LMP IN MST'!$AB8="")),'[1]LMP IN PPT'!P10,IF(AND('[1]LMP IN PPT'!$A10='[1]LMP IN MST'!$A8,'[1]LMP IN MST'!$Z8="DST",'[1]LMP IN MST'!$AA8="FB",'[1]LMP IN MST'!$AB8="NOV"),'[1]LMP IN PPT'!Q10,IF(AND('[1]LMP IN PPT'!$A10='[1]LMP IN MST'!$A8,'[1]LMP IN MST'!$Z8="ST",'[1]LMP IN MST'!$AA8="NORM",'[1]LMP IN MST'!$AB8="NOV"),'[1]LMP IN PPT'!Q10,IF(AND('[1]LMP IN PPT'!$A10='[1]LMP IN MST'!$A8,'[1]LMP IN MST'!$Z8="DST",'[1]LMP IN MST'!$AA8="SF",'[1]LMP IN MST'!$AB8="MAR"),'[1]LMP IN PPT'!Q10,IF(AND('[1]LMP IN PPT'!$A10='[1]LMP IN MST'!$A8,'[1]LMP IN MST'!$Z8="DST",'[1]LMP IN MST'!$AA8="NORM",'[1]LMP IN MST'!$AB8="NOV"),'[1]LMP IN PPT'!R10,IF(AND('[1]LMP IN PPT'!$A10='[1]LMP IN MST'!$A8,'[1]LMP IN MST'!$Z8="DST",'[1]LMP IN MST'!$AA8="NORM",OR('[1]LMP IN MST'!$AB8="MAR",'[1]LMP IN MST'!$AB8="")),'[1]LMP IN PPT'!Q10,0))))))</f>
        <v>-22.150390000000002</v>
      </c>
      <c r="O8">
        <f>IF(AND('[1]LMP IN PPT'!$A10='[1]LMP IN MST'!$A8,'[1]LMP IN MST'!$Z8="ST",'[1]LMP IN MST'!$AA8="NORM",OR('[1]LMP IN MST'!$AB8="MAR",'[1]LMP IN MST'!$AB8="")),'[1]LMP IN PPT'!Q10,IF(AND('[1]LMP IN PPT'!$A10='[1]LMP IN MST'!$A8,'[1]LMP IN MST'!$Z8="DST",'[1]LMP IN MST'!$AA8="FB",'[1]LMP IN MST'!$AB8="NOV"),'[1]LMP IN PPT'!R10,IF(AND('[1]LMP IN PPT'!$A10='[1]LMP IN MST'!$A8,'[1]LMP IN MST'!$Z8="ST",'[1]LMP IN MST'!$AA8="NORM",'[1]LMP IN MST'!$AB8="NOV"),'[1]LMP IN PPT'!R10,IF(AND('[1]LMP IN PPT'!$A10='[1]LMP IN MST'!$A8,'[1]LMP IN MST'!$Z8="DST",'[1]LMP IN MST'!$AA8="SF",'[1]LMP IN MST'!$AB8="MAR"),'[1]LMP IN PPT'!R10,IF(AND('[1]LMP IN PPT'!$A10='[1]LMP IN MST'!$A8,'[1]LMP IN MST'!$Z8="DST",'[1]LMP IN MST'!$AA8="NORM",'[1]LMP IN MST'!$AB8="NOV"),'[1]LMP IN PPT'!S10,IF(AND('[1]LMP IN PPT'!$A10='[1]LMP IN MST'!$A8,'[1]LMP IN MST'!$Z8="DST",'[1]LMP IN MST'!$AA8="NORM",OR('[1]LMP IN MST'!$AB8="MAR",'[1]LMP IN MST'!$AB8="")),'[1]LMP IN PPT'!R10,0))))))</f>
        <v>-22.984020000000001</v>
      </c>
      <c r="P8">
        <f>IF(AND('[1]LMP IN PPT'!$A10='[1]LMP IN MST'!$A8,'[1]LMP IN MST'!$Z8="ST",'[1]LMP IN MST'!$AA8="NORM",OR('[1]LMP IN MST'!$AB8="MAR",'[1]LMP IN MST'!$AB8="")),'[1]LMP IN PPT'!R10,IF(AND('[1]LMP IN PPT'!$A10='[1]LMP IN MST'!$A8,'[1]LMP IN MST'!$Z8="DST",'[1]LMP IN MST'!$AA8="FB",'[1]LMP IN MST'!$AB8="NOV"),'[1]LMP IN PPT'!S10,IF(AND('[1]LMP IN PPT'!$A10='[1]LMP IN MST'!$A8,'[1]LMP IN MST'!$Z8="ST",'[1]LMP IN MST'!$AA8="NORM",'[1]LMP IN MST'!$AB8="NOV"),'[1]LMP IN PPT'!S10,IF(AND('[1]LMP IN PPT'!$A10='[1]LMP IN MST'!$A8,'[1]LMP IN MST'!$Z8="DST",'[1]LMP IN MST'!$AA8="SF",'[1]LMP IN MST'!$AB8="MAR"),'[1]LMP IN PPT'!S10,IF(AND('[1]LMP IN PPT'!$A10='[1]LMP IN MST'!$A8,'[1]LMP IN MST'!$Z8="DST",'[1]LMP IN MST'!$AA8="NORM",'[1]LMP IN MST'!$AB8="NOV"),'[1]LMP IN PPT'!T10,IF(AND('[1]LMP IN PPT'!$A10='[1]LMP IN MST'!$A8,'[1]LMP IN MST'!$Z8="DST",'[1]LMP IN MST'!$AA8="NORM",OR('[1]LMP IN MST'!$AB8="MAR",'[1]LMP IN MST'!$AB8="")),'[1]LMP IN PPT'!S10,0))))))</f>
        <v>-24.85089</v>
      </c>
      <c r="Q8">
        <f>IF(AND('[1]LMP IN PPT'!$A10='[1]LMP IN MST'!$A8,'[1]LMP IN MST'!$Z8="ST",'[1]LMP IN MST'!$AA8="NORM",OR('[1]LMP IN MST'!$AB8="MAR",'[1]LMP IN MST'!$AB8="")),'[1]LMP IN PPT'!S10,IF(AND('[1]LMP IN PPT'!$A10='[1]LMP IN MST'!$A8,'[1]LMP IN MST'!$Z8="DST",'[1]LMP IN MST'!$AA8="FB",'[1]LMP IN MST'!$AB8="NOV"),'[1]LMP IN PPT'!T10,IF(AND('[1]LMP IN PPT'!$A10='[1]LMP IN MST'!$A8,'[1]LMP IN MST'!$Z8="ST",'[1]LMP IN MST'!$AA8="NORM",'[1]LMP IN MST'!$AB8="NOV"),'[1]LMP IN PPT'!T10,IF(AND('[1]LMP IN PPT'!$A10='[1]LMP IN MST'!$A8,'[1]LMP IN MST'!$Z8="DST",'[1]LMP IN MST'!$AA8="SF",'[1]LMP IN MST'!$AB8="MAR"),'[1]LMP IN PPT'!T10,IF(AND('[1]LMP IN PPT'!$A10='[1]LMP IN MST'!$A8,'[1]LMP IN MST'!$Z8="DST",'[1]LMP IN MST'!$AA8="NORM",'[1]LMP IN MST'!$AB8="NOV"),'[1]LMP IN PPT'!U10,IF(AND('[1]LMP IN PPT'!$A10='[1]LMP IN MST'!$A8,'[1]LMP IN MST'!$Z8="DST",'[1]LMP IN MST'!$AA8="NORM",OR('[1]LMP IN MST'!$AB8="MAR",'[1]LMP IN MST'!$AB8="")),'[1]LMP IN PPT'!T10,0))))))</f>
        <v>-23.585629999999998</v>
      </c>
      <c r="R8">
        <f>IF(AND('[1]LMP IN PPT'!$A10='[1]LMP IN MST'!$A8,'[1]LMP IN MST'!$Z8="ST",'[1]LMP IN MST'!$AA8="NORM",OR('[1]LMP IN MST'!$AB8="MAR",'[1]LMP IN MST'!$AB8="")),'[1]LMP IN PPT'!T10,IF(AND('[1]LMP IN PPT'!$A10='[1]LMP IN MST'!$A8,'[1]LMP IN MST'!$Z8="DST",'[1]LMP IN MST'!$AA8="FB",'[1]LMP IN MST'!$AB8="NOV"),'[1]LMP IN PPT'!U10,IF(AND('[1]LMP IN PPT'!$A10='[1]LMP IN MST'!$A8,'[1]LMP IN MST'!$Z8="ST",'[1]LMP IN MST'!$AA8="NORM",'[1]LMP IN MST'!$AB8="NOV"),'[1]LMP IN PPT'!U10,IF(AND('[1]LMP IN PPT'!$A10='[1]LMP IN MST'!$A8,'[1]LMP IN MST'!$Z8="DST",'[1]LMP IN MST'!$AA8="SF",'[1]LMP IN MST'!$AB8="MAR"),'[1]LMP IN PPT'!U10,IF(AND('[1]LMP IN PPT'!$A10='[1]LMP IN MST'!$A8,'[1]LMP IN MST'!$Z8="DST",'[1]LMP IN MST'!$AA8="NORM",'[1]LMP IN MST'!$AB8="NOV"),'[1]LMP IN PPT'!V10,IF(AND('[1]LMP IN PPT'!$A10='[1]LMP IN MST'!$A8,'[1]LMP IN MST'!$Z8="DST",'[1]LMP IN MST'!$AA8="NORM",OR('[1]LMP IN MST'!$AB8="MAR",'[1]LMP IN MST'!$AB8="")),'[1]LMP IN PPT'!U10,0))))))</f>
        <v>-20.775210000000001</v>
      </c>
      <c r="S8">
        <f>IF(AND('[1]LMP IN PPT'!$A10='[1]LMP IN MST'!$A8,'[1]LMP IN MST'!$Z8="ST",'[1]LMP IN MST'!$AA8="NORM",OR('[1]LMP IN MST'!$AB8="MAR",'[1]LMP IN MST'!$AB8="")),'[1]LMP IN PPT'!U10,IF(AND('[1]LMP IN PPT'!$A10='[1]LMP IN MST'!$A8,'[1]LMP IN MST'!$Z8="DST",'[1]LMP IN MST'!$AA8="FB",'[1]LMP IN MST'!$AB8="NOV"),'[1]LMP IN PPT'!V10,IF(AND('[1]LMP IN PPT'!$A10='[1]LMP IN MST'!$A8,'[1]LMP IN MST'!$Z8="ST",'[1]LMP IN MST'!$AA8="NORM",'[1]LMP IN MST'!$AB8="NOV"),'[1]LMP IN PPT'!V10,IF(AND('[1]LMP IN PPT'!$A10='[1]LMP IN MST'!$A8,'[1]LMP IN MST'!$Z8="DST",'[1]LMP IN MST'!$AA8="SF",'[1]LMP IN MST'!$AB8="MAR"),'[1]LMP IN PPT'!V10,IF(AND('[1]LMP IN PPT'!$A10='[1]LMP IN MST'!$A8,'[1]LMP IN MST'!$Z8="DST",'[1]LMP IN MST'!$AA8="NORM",'[1]LMP IN MST'!$AB8="NOV"),'[1]LMP IN PPT'!W10,IF(AND('[1]LMP IN PPT'!$A10='[1]LMP IN MST'!$A8,'[1]LMP IN MST'!$Z8="DST",'[1]LMP IN MST'!$AA8="NORM",OR('[1]LMP IN MST'!$AB8="MAR",'[1]LMP IN MST'!$AB8="")),'[1]LMP IN PPT'!V10,0))))))</f>
        <v>2.1238299999999999</v>
      </c>
      <c r="T8">
        <f>IF(AND('[1]LMP IN PPT'!$A10='[1]LMP IN MST'!$A8,'[1]LMP IN MST'!$Z8="ST",'[1]LMP IN MST'!$AA8="NORM",OR('[1]LMP IN MST'!$AB8="MAR",'[1]LMP IN MST'!$AB8="")),'[1]LMP IN PPT'!V10,IF(AND('[1]LMP IN PPT'!$A10='[1]LMP IN MST'!$A8,'[1]LMP IN MST'!$Z8="DST",'[1]LMP IN MST'!$AA8="FB",'[1]LMP IN MST'!$AB8="NOV"),'[1]LMP IN PPT'!W10,IF(AND('[1]LMP IN PPT'!$A10='[1]LMP IN MST'!$A8,'[1]LMP IN MST'!$Z8="ST",'[1]LMP IN MST'!$AA8="NORM",'[1]LMP IN MST'!$AB8="NOV"),'[1]LMP IN PPT'!W10,IF(AND('[1]LMP IN PPT'!$A10='[1]LMP IN MST'!$A8,'[1]LMP IN MST'!$Z8="DST",'[1]LMP IN MST'!$AA8="SF",'[1]LMP IN MST'!$AB8="MAR"),'[1]LMP IN PPT'!W10,IF(AND('[1]LMP IN PPT'!$A10='[1]LMP IN MST'!$A8,'[1]LMP IN MST'!$Z8="DST",'[1]LMP IN MST'!$AA8="NORM",'[1]LMP IN MST'!$AB8="NOV"),'[1]LMP IN PPT'!X10,IF(AND('[1]LMP IN PPT'!$A10='[1]LMP IN MST'!$A8,'[1]LMP IN MST'!$Z8="DST",'[1]LMP IN MST'!$AA8="NORM",OR('[1]LMP IN MST'!$AB8="MAR",'[1]LMP IN MST'!$AB8="")),'[1]LMP IN PPT'!W10,0))))))</f>
        <v>47.73227</v>
      </c>
      <c r="U8">
        <f>IF(AND('[1]LMP IN PPT'!$A10='[1]LMP IN MST'!$A8,'[1]LMP IN MST'!$Z8="ST",'[1]LMP IN MST'!$AA8="NORM",OR('[1]LMP IN MST'!$AB8="MAR",'[1]LMP IN MST'!$AB8="")),'[1]LMP IN PPT'!W10,IF(AND('[1]LMP IN PPT'!$A10='[1]LMP IN MST'!$A8,'[1]LMP IN MST'!$Z8="DST",'[1]LMP IN MST'!$AA8="FB",'[1]LMP IN MST'!$AB8="NOV"),'[1]LMP IN PPT'!X10,IF(AND('[1]LMP IN PPT'!$A10='[1]LMP IN MST'!$A8,'[1]LMP IN MST'!$Z8="ST",'[1]LMP IN MST'!$AA8="NORM",'[1]LMP IN MST'!$AB8="NOV"),'[1]LMP IN PPT'!X10,IF(AND('[1]LMP IN PPT'!$A10='[1]LMP IN MST'!$A8,'[1]LMP IN MST'!$Z8="DST",'[1]LMP IN MST'!$AA8="SF",'[1]LMP IN MST'!$AB8="MAR"),'[1]LMP IN PPT'!X10,IF(AND('[1]LMP IN PPT'!$A10='[1]LMP IN MST'!$A8,'[1]LMP IN MST'!$Z8="DST",'[1]LMP IN MST'!$AA8="NORM",'[1]LMP IN MST'!$AB8="NOV"),'[1]LMP IN PPT'!Y10,IF(AND('[1]LMP IN PPT'!$A10='[1]LMP IN MST'!$A8,'[1]LMP IN MST'!$Z8="DST",'[1]LMP IN MST'!$AA8="NORM",OR('[1]LMP IN MST'!$AB8="MAR",'[1]LMP IN MST'!$AB8="")),'[1]LMP IN PPT'!X10,0))))))</f>
        <v>48.433920000000001</v>
      </c>
      <c r="V8">
        <f>IF(AND('[1]LMP IN PPT'!$A10='[1]LMP IN MST'!$A8,'[1]LMP IN MST'!$Z8="ST",'[1]LMP IN MST'!$AA8="NORM",OR('[1]LMP IN MST'!$AB8="MAR",'[1]LMP IN MST'!$AB8="")),'[1]LMP IN PPT'!X10,IF(AND('[1]LMP IN PPT'!$A10='[1]LMP IN MST'!$A8,'[1]LMP IN MST'!$Z8="DST",'[1]LMP IN MST'!$AA8="FB",'[1]LMP IN MST'!$AB8="NOV"),'[1]LMP IN PPT'!Y10,IF(AND('[1]LMP IN PPT'!$A10='[1]LMP IN MST'!$A8,'[1]LMP IN MST'!$Z8="ST",'[1]LMP IN MST'!$AA8="NORM",'[1]LMP IN MST'!$AB8="NOV"),'[1]LMP IN PPT'!Y10,IF(AND('[1]LMP IN PPT'!$A10='[1]LMP IN MST'!$A8,'[1]LMP IN MST'!$Z8="DST",'[1]LMP IN MST'!$AA8="SF",'[1]LMP IN MST'!$AB8="MAR"),'[1]LMP IN PPT'!Y10,IF(AND('[1]LMP IN PPT'!$A10='[1]LMP IN MST'!$A8,'[1]LMP IN MST'!$Z8="DST",'[1]LMP IN MST'!$AA8="NORM",'[1]LMP IN MST'!$AB8="NOV"),'[1]LMP IN PPT'!Z10,IF(AND('[1]LMP IN PPT'!$A10='[1]LMP IN MST'!$A8,'[1]LMP IN MST'!$Z8="DST",'[1]LMP IN MST'!$AA8="NORM",OR('[1]LMP IN MST'!$AB8="MAR",'[1]LMP IN MST'!$AB8="")),'[1]LMP IN PPT'!Y10,0))))))</f>
        <v>49.066560000000003</v>
      </c>
      <c r="W8">
        <f>IF(AND('[1]LMP IN PPT'!$A10='[1]LMP IN MST'!$A8,'[1]LMP IN MST'!$Z8="ST",'[1]LMP IN MST'!$AA8="NORM",OR('[1]LMP IN MST'!$AB8="MAR",'[1]LMP IN MST'!$AB8="")),'[1]LMP IN PPT'!Y10,IF(AND('[1]LMP IN PPT'!$A10='[1]LMP IN MST'!$A8,'[1]LMP IN MST'!$Z8="DST",'[1]LMP IN MST'!$AA8="FB",'[1]LMP IN MST'!$AB8="NOV"),'[1]LMP IN PPT'!Z10,IF(AND('[1]LMP IN PPT'!$A10='[1]LMP IN MST'!$A8,'[1]LMP IN MST'!$Z8="ST",'[1]LMP IN MST'!$AA8="NORM",'[1]LMP IN MST'!$AB8="NOV"),'[1]LMP IN PPT'!Z10,IF(AND('[1]LMP IN PPT'!$A10='[1]LMP IN MST'!$A8,'[1]LMP IN MST'!$Z8="DST",'[1]LMP IN MST'!$AA8="SF",'[1]LMP IN MST'!$AB8="MAR"),'[1]LMP IN PPT'!Z10,IF(AND('[1]LMP IN PPT'!$A10='[1]LMP IN MST'!$A8,'[1]LMP IN MST'!$Z8="DST",'[1]LMP IN MST'!$AA8="NORM",'[1]LMP IN MST'!$AB8="NOV"),'[1]LMP IN PPT'!AA10,IF(AND('[1]LMP IN PPT'!$A10='[1]LMP IN MST'!$A8,'[1]LMP IN MST'!$Z8="DST",'[1]LMP IN MST'!$AA8="NORM",OR('[1]LMP IN MST'!$AB8="MAR",'[1]LMP IN MST'!$AB8="")),'[1]LMP IN PPT'!Z10,0))))))</f>
        <v>48.373249999999999</v>
      </c>
      <c r="X8">
        <f>IF(AND('[1]LMP IN PPT'!$A10='[1]LMP IN MST'!$A8,'[1]LMP IN MST'!$Z8="ST",'[1]LMP IN MST'!$AA8="NORM",OR('[1]LMP IN MST'!$AB8="MAR",'[1]LMP IN MST'!$AB8="")),'[1]LMP IN PPT'!Z10,IF(AND('[1]LMP IN PPT'!$A10='[1]LMP IN MST'!$A8,'[1]LMP IN MST'!$Z8="DST",'[1]LMP IN MST'!$AA8="FB",'[1]LMP IN MST'!$AB8="NOV"),'[1]LMP IN PPT'!AA10,IF(AND('[1]LMP IN PPT'!$A10='[1]LMP IN MST'!$A8,'[1]LMP IN MST'!$Z8="ST",'[1]LMP IN MST'!$AA8="NORM",'[1]LMP IN MST'!$AB8="NOV"),'[1]LMP IN PPT'!AA10,IF(AND('[1]LMP IN PPT'!$A10='[1]LMP IN MST'!$A8,'[1]LMP IN MST'!$Z8="DST",'[1]LMP IN MST'!$AA8="SF",'[1]LMP IN MST'!$AB8="MAR"),'[1]LMP IN PPT'!AA10,IF(AND('[1]LMP IN PPT'!$A10='[1]LMP IN MST'!$A8,'[1]LMP IN MST'!$Z8="DST",'[1]LMP IN MST'!$AA8="NORM",'[1]LMP IN MST'!$AB8="NOV"),'[1]LMP IN PPT'!AB10,IF(AND('[1]LMP IN PPT'!$A10='[1]LMP IN MST'!$A8,'[1]LMP IN MST'!$Z8="DST",'[1]LMP IN MST'!$AA8="NORM",OR('[1]LMP IN MST'!$AB8="MAR",'[1]LMP IN MST'!$AB8="")),'[1]LMP IN PPT'!AA10,0))))))</f>
        <v>47.788640000000001</v>
      </c>
      <c r="Y8">
        <f>IF(AND('[1]LMP IN PPT'!$A10='[1]LMP IN MST'!$A8,'[1]LMP IN MST'!$Z8="ST",'[1]LMP IN MST'!$AA8="NORM",OR('[1]LMP IN MST'!$AB8="MAR",'[1]LMP IN MST'!$AB8="")),'[1]LMP IN PPT'!AA10,IF(AND('[1]LMP IN PPT'!$A10='[1]LMP IN MST'!$A8,'[1]LMP IN MST'!$Z8="DST",'[1]LMP IN MST'!$AA8="FB",'[1]LMP IN MST'!$AB8="NOV"),'[1]LMP IN PPT'!AB10,IF(AND('[1]LMP IN PPT'!$A10='[1]LMP IN MST'!$A8,'[1]LMP IN MST'!$Z8="ST",'[1]LMP IN MST'!$AA8="NORM",'[1]LMP IN MST'!$AB8="NOV"),'[1]LMP IN PPT'!AB10,IF(AND('[1]LMP IN PPT'!$A10='[1]LMP IN MST'!$A8,'[1]LMP IN MST'!$Z8="DST",'[1]LMP IN MST'!$AA8="SF",'[1]LMP IN MST'!$AB8="MAR"),'[1]LMP IN PPT'!AB10,IF(AND('[1]LMP IN PPT'!$A10='[1]LMP IN MST'!$A8,'[1]LMP IN MST'!$Z8="DST",'[1]LMP IN MST'!$AA8="NORM",'[1]LMP IN MST'!$AB8="NOV"),'[1]LMP IN PPT'!AC10,IF(AND('[1]LMP IN PPT'!$A10='[1]LMP IN MST'!$A8,'[1]LMP IN MST'!$Z8="DST",'[1]LMP IN MST'!$AA8="NORM",OR('[1]LMP IN MST'!$AB8="MAR",'[1]LMP IN MST'!$AB8="")),'[1]LMP IN PPT'!AB10,0))))))</f>
        <v>40.43526</v>
      </c>
    </row>
    <row r="9" spans="1:25" x14ac:dyDescent="0.3">
      <c r="A9" s="1">
        <f t="shared" si="0"/>
        <v>45359</v>
      </c>
      <c r="B9">
        <f>IF(AND('[1]LMP IN PPT'!$A11='[1]LMP IN MST'!$A9,'[1]LMP IN MST'!$Z9="ST",'[1]LMP IN MST'!$AA9="NORM",'[1]LMP IN MST'!$AB9="NOV"),'[1]LMP IN PPT'!AC10,IF(AND('[1]LMP IN PPT'!$A11='[1]LMP IN MST'!$A9,'[1]LMP IN MST'!$Z9="ST",'[1]LMP IN MST'!$AA9="NORM",'[1]LMP IN MST'!$AB9="MAR"),'[1]LMP IN PPT'!AB10,IF(AND('[1]LMP IN PPT'!$A11='[1]LMP IN MST'!$A9,'[1]LMP IN MST'!$Z9="ST",'[1]LMP IN MST'!$AA9="NORM",'[1]LMP IN MST'!$AB9=""),'[1]LMP IN PPT'!AB10,IF(AND('[1]LMP IN PPT'!$A11='[1]LMP IN MST'!$A9,'[1]LMP IN MST'!$Z9="DST",'[1]LMP IN MST'!$AA9="FB",'[1]LMP IN MST'!$AB9="NOV"),'[1]LMP IN PPT'!E11,IF(AND('[1]LMP IN PPT'!$A11='[1]LMP IN MST'!$A9,'[1]LMP IN MST'!$Z9="DST",'[1]LMP IN MST'!$AA9="SF",'[1]LMP IN MST'!$AB9="MAR"),'[1]LMP IN PPT'!AB10,IF(AND('[1]LMP IN PPT'!$A11='[1]LMP IN MST'!$A9,'[1]LMP IN MST'!$Z9="DST",'[1]LMP IN MST'!$AA9="NORM",OR('[1]LMP IN MST'!$AB9="MAR",'[1]LMP IN MST'!$AB9="",'[1]LMP IN MST'!$AB9="NOV")),'[1]LMP IN PPT'!E11,0))))))</f>
        <v>36.891269999999999</v>
      </c>
      <c r="C9">
        <f>IF(AND('[1]LMP IN PPT'!$A11='[1]LMP IN MST'!$A9,'[1]LMP IN MST'!$Z9="ST",'[1]LMP IN MST'!$AA9="NORM",OR('[1]LMP IN MST'!$AB9="NOV",'[1]LMP IN MST'!$AB9="MAR",'[1]LMP IN MST'!$AB9="")),'[1]LMP IN PPT'!E11,IF(AND('[1]LMP IN PPT'!$A11='[1]LMP IN MST'!$A9,'[1]LMP IN MST'!$Z9="DST",'[1]LMP IN MST'!$AA9="FB",'[1]LMP IN MST'!$AB9="NOV"),'[1]LMP IN PPT'!F11,IF(AND('[1]LMP IN PPT'!$A11='[1]LMP IN MST'!$A9,'[1]LMP IN MST'!$Z9="DST",'[1]LMP IN MST'!$AA9="SF",'[1]LMP IN MST'!$AB9="MAR"),'[1]LMP IN PPT'!E11,IF(AND('[1]LMP IN PPT'!$A11='[1]LMP IN MST'!$A9,'[1]LMP IN MST'!$Z9="DST",'[1]LMP IN MST'!$AA9="NORM",OR('[1]LMP IN MST'!$AB9="MAR",'[1]LMP IN MST'!$AB9="",'[1]LMP IN MST'!$AB9="NOV")),'[1]LMP IN PPT'!F11,0))))</f>
        <v>41.905549999999998</v>
      </c>
      <c r="D9">
        <f>IF(AND('[1]LMP IN PPT'!$A11='[1]LMP IN MST'!$A9,'[1]LMP IN MST'!$Z9="ST",'[1]LMP IN MST'!$AA9="NORM",OR('[1]LMP IN MST'!$AB9="NOV",'[1]LMP IN MST'!$AB9="MAR",'[1]LMP IN MST'!$AB9="")),'[1]LMP IN PPT'!F11,IF(AND('[1]LMP IN PPT'!$A11='[1]LMP IN MST'!$A9,'[1]LMP IN MST'!$Z9="DST",'[1]LMP IN MST'!$AA9="FB",'[1]LMP IN MST'!$AB9="NOV"),'[1]LMP IN PPT'!G11,IF(AND('[1]LMP IN PPT'!$A11='[1]LMP IN MST'!$A9,'[1]LMP IN MST'!$Z9="DST",'[1]LMP IN MST'!$AA9="SF",'[1]LMP IN MST'!$AB9="MAR"),'[1]LMP IN PPT'!F11,IF(AND('[1]LMP IN PPT'!$A11='[1]LMP IN MST'!$A9,'[1]LMP IN MST'!$Z9="DST",'[1]LMP IN MST'!$AA9="NORM",'[1]LMP IN MST'!$AB9="NOV"),'[1]LMP IN PPT'!H11,IF(AND('[1]LMP IN PPT'!$A11='[1]LMP IN MST'!$A9,'[1]LMP IN MST'!$Z9="DST",'[1]LMP IN MST'!$AA9="NORM",OR('[1]LMP IN MST'!$AB9="MAR",'[1]LMP IN MST'!$AB9="")),'[1]LMP IN PPT'!G11,0)))))</f>
        <v>41.56344</v>
      </c>
      <c r="E9">
        <f>IF(AND('[1]LMP IN PPT'!$A11='[1]LMP IN MST'!$A9,'[1]LMP IN MST'!$Z9="ST",'[1]LMP IN MST'!$AA9="NORM",OR('[1]LMP IN MST'!$AB9="MAR",'[1]LMP IN MST'!$AB9="")),'[1]LMP IN PPT'!G11,IF(AND('[1]LMP IN PPT'!$A11='[1]LMP IN MST'!$A9,'[1]LMP IN MST'!$Z9="DST",'[1]LMP IN MST'!$AA9="FB",'[1]LMP IN MST'!$AB9="NOV"),'[1]LMP IN PPT'!H11,IF(AND('[1]LMP IN PPT'!$A11='[1]LMP IN MST'!$A9,'[1]LMP IN MST'!$Z9="ST",'[1]LMP IN MST'!$AA9="NORM",'[1]LMP IN MST'!$AB9="NOV"),'[1]LMP IN PPT'!H11,IF(AND('[1]LMP IN PPT'!$A11='[1]LMP IN MST'!$A9,'[1]LMP IN MST'!$Z9="DST",'[1]LMP IN MST'!$AA9="SF",'[1]LMP IN MST'!$AB9="MAR"),'[1]LMP IN PPT'!H11,IF(AND('[1]LMP IN PPT'!$A11='[1]LMP IN MST'!$A9,'[1]LMP IN MST'!$Z9="DST",'[1]LMP IN MST'!$AA9="NORM",'[1]LMP IN MST'!$AB9="NOV"),'[1]LMP IN PPT'!I11,IF(AND('[1]LMP IN PPT'!$A11='[1]LMP IN MST'!$A9,'[1]LMP IN MST'!$Z9="DST",'[1]LMP IN MST'!$AA9="NORM",OR('[1]LMP IN MST'!$AB9="MAR",'[1]LMP IN MST'!$AB9="")),'[1]LMP IN PPT'!H11,0))))))</f>
        <v>40.930129999999998</v>
      </c>
      <c r="F9">
        <f>IF(AND('[1]LMP IN PPT'!$A11='[1]LMP IN MST'!$A9,'[1]LMP IN MST'!$Z9="ST",'[1]LMP IN MST'!$AA9="NORM",OR('[1]LMP IN MST'!$AB9="MAR",'[1]LMP IN MST'!$AB9="")),'[1]LMP IN PPT'!H11,IF(AND('[1]LMP IN PPT'!$A11='[1]LMP IN MST'!$A9,'[1]LMP IN MST'!$Z9="DST",'[1]LMP IN MST'!$AA9="FB",'[1]LMP IN MST'!$AB9="NOV"),'[1]LMP IN PPT'!I11,IF(AND('[1]LMP IN PPT'!$A11='[1]LMP IN MST'!$A9,'[1]LMP IN MST'!$Z9="ST",'[1]LMP IN MST'!$AA9="NORM",'[1]LMP IN MST'!$AB9="NOV"),'[1]LMP IN PPT'!I11,IF(AND('[1]LMP IN PPT'!$A11='[1]LMP IN MST'!$A9,'[1]LMP IN MST'!$Z9="DST",'[1]LMP IN MST'!$AA9="SF",'[1]LMP IN MST'!$AB9="MAR"),'[1]LMP IN PPT'!I11,IF(AND('[1]LMP IN PPT'!$A11='[1]LMP IN MST'!$A9,'[1]LMP IN MST'!$Z9="DST",'[1]LMP IN MST'!$AA9="NORM",'[1]LMP IN MST'!$AB9="NOV"),'[1]LMP IN PPT'!J11,IF(AND('[1]LMP IN PPT'!$A11='[1]LMP IN MST'!$A9,'[1]LMP IN MST'!$Z9="DST",'[1]LMP IN MST'!$AA9="NORM",OR('[1]LMP IN MST'!$AB9="MAR",'[1]LMP IN MST'!$AB9="")),'[1]LMP IN PPT'!I11,0))))))</f>
        <v>42.286960000000001</v>
      </c>
      <c r="G9">
        <f>IF(AND('[1]LMP IN PPT'!$A11='[1]LMP IN MST'!$A9,'[1]LMP IN MST'!$Z9="ST",'[1]LMP IN MST'!$AA9="NORM",OR('[1]LMP IN MST'!$AB9="MAR",'[1]LMP IN MST'!$AB9="")),'[1]LMP IN PPT'!I11,IF(AND('[1]LMP IN PPT'!$A11='[1]LMP IN MST'!$A9,'[1]LMP IN MST'!$Z9="DST",'[1]LMP IN MST'!$AA9="FB",'[1]LMP IN MST'!$AB9="NOV"),'[1]LMP IN PPT'!J11,IF(AND('[1]LMP IN PPT'!$A11='[1]LMP IN MST'!$A9,'[1]LMP IN MST'!$Z9="ST",'[1]LMP IN MST'!$AA9="NORM",'[1]LMP IN MST'!$AB9="NOV"),'[1]LMP IN PPT'!J11,IF(AND('[1]LMP IN PPT'!$A11='[1]LMP IN MST'!$A9,'[1]LMP IN MST'!$Z9="DST",'[1]LMP IN MST'!$AA9="SF",'[1]LMP IN MST'!$AB9="MAR"),'[1]LMP IN PPT'!J11,IF(AND('[1]LMP IN PPT'!$A11='[1]LMP IN MST'!$A9,'[1]LMP IN MST'!$Z9="DST",'[1]LMP IN MST'!$AA9="NORM",'[1]LMP IN MST'!$AB9="NOV"),'[1]LMP IN PPT'!K11,IF(AND('[1]LMP IN PPT'!$A11='[1]LMP IN MST'!$A9,'[1]LMP IN MST'!$Z9="DST",'[1]LMP IN MST'!$AA9="NORM",OR('[1]LMP IN MST'!$AB9="MAR",'[1]LMP IN MST'!$AB9="")),'[1]LMP IN PPT'!J11,0))))))</f>
        <v>50.598570000000002</v>
      </c>
      <c r="H9">
        <f>IF(AND('[1]LMP IN PPT'!$A11='[1]LMP IN MST'!$A9,'[1]LMP IN MST'!$Z9="ST",'[1]LMP IN MST'!$AA9="NORM",OR('[1]LMP IN MST'!$AB9="MAR",'[1]LMP IN MST'!$AB9="")),'[1]LMP IN PPT'!J11,IF(AND('[1]LMP IN PPT'!$A11='[1]LMP IN MST'!$A9,'[1]LMP IN MST'!$Z9="DST",'[1]LMP IN MST'!$AA9="FB",'[1]LMP IN MST'!$AB9="NOV"),'[1]LMP IN PPT'!K11,IF(AND('[1]LMP IN PPT'!$A11='[1]LMP IN MST'!$A9,'[1]LMP IN MST'!$Z9="ST",'[1]LMP IN MST'!$AA9="NORM",'[1]LMP IN MST'!$AB9="NOV"),'[1]LMP IN PPT'!K11,IF(AND('[1]LMP IN PPT'!$A11='[1]LMP IN MST'!$A9,'[1]LMP IN MST'!$Z9="DST",'[1]LMP IN MST'!$AA9="SF",'[1]LMP IN MST'!$AB9="MAR"),'[1]LMP IN PPT'!K11,IF(AND('[1]LMP IN PPT'!$A11='[1]LMP IN MST'!$A9,'[1]LMP IN MST'!$Z9="DST",'[1]LMP IN MST'!$AA9="NORM",'[1]LMP IN MST'!$AB9="NOV"),'[1]LMP IN PPT'!L11,IF(AND('[1]LMP IN PPT'!$A11='[1]LMP IN MST'!$A9,'[1]LMP IN MST'!$Z9="DST",'[1]LMP IN MST'!$AA9="NORM",OR('[1]LMP IN MST'!$AB9="MAR",'[1]LMP IN MST'!$AB9="")),'[1]LMP IN PPT'!K11,0))))))</f>
        <v>57.743879999999997</v>
      </c>
      <c r="I9">
        <f>IF(AND('[1]LMP IN PPT'!$A11='[1]LMP IN MST'!$A9,'[1]LMP IN MST'!$Z9="ST",'[1]LMP IN MST'!$AA9="NORM",OR('[1]LMP IN MST'!$AB9="MAR",'[1]LMP IN MST'!$AB9="")),'[1]LMP IN PPT'!K11,IF(AND('[1]LMP IN PPT'!$A11='[1]LMP IN MST'!$A9,'[1]LMP IN MST'!$Z9="DST",'[1]LMP IN MST'!$AA9="FB",'[1]LMP IN MST'!$AB9="NOV"),'[1]LMP IN PPT'!L11,IF(AND('[1]LMP IN PPT'!$A11='[1]LMP IN MST'!$A9,'[1]LMP IN MST'!$Z9="ST",'[1]LMP IN MST'!$AA9="NORM",'[1]LMP IN MST'!$AB9="NOV"),'[1]LMP IN PPT'!L11,IF(AND('[1]LMP IN PPT'!$A11='[1]LMP IN MST'!$A9,'[1]LMP IN MST'!$Z9="DST",'[1]LMP IN MST'!$AA9="SF",'[1]LMP IN MST'!$AB9="MAR"),'[1]LMP IN PPT'!L11,IF(AND('[1]LMP IN PPT'!$A11='[1]LMP IN MST'!$A9,'[1]LMP IN MST'!$Z9="DST",'[1]LMP IN MST'!$AA9="NORM",'[1]LMP IN MST'!$AB9="NOV"),'[1]LMP IN PPT'!M11,IF(AND('[1]LMP IN PPT'!$A11='[1]LMP IN MST'!$A9,'[1]LMP IN MST'!$Z9="DST",'[1]LMP IN MST'!$AA9="NORM",OR('[1]LMP IN MST'!$AB9="MAR",'[1]LMP IN MST'!$AB9="")),'[1]LMP IN PPT'!L11,0))))))</f>
        <v>56.841670000000001</v>
      </c>
      <c r="J9">
        <f>IF(AND('[1]LMP IN PPT'!$A11='[1]LMP IN MST'!$A9,'[1]LMP IN MST'!$Z9="ST",'[1]LMP IN MST'!$AA9="NORM",OR('[1]LMP IN MST'!$AB9="MAR",'[1]LMP IN MST'!$AB9="")),'[1]LMP IN PPT'!L11,IF(AND('[1]LMP IN PPT'!$A11='[1]LMP IN MST'!$A9,'[1]LMP IN MST'!$Z9="DST",'[1]LMP IN MST'!$AA9="FB",'[1]LMP IN MST'!$AB9="NOV"),'[1]LMP IN PPT'!M11,IF(AND('[1]LMP IN PPT'!$A11='[1]LMP IN MST'!$A9,'[1]LMP IN MST'!$Z9="ST",'[1]LMP IN MST'!$AA9="NORM",'[1]LMP IN MST'!$AB9="NOV"),'[1]LMP IN PPT'!M11,IF(AND('[1]LMP IN PPT'!$A11='[1]LMP IN MST'!$A9,'[1]LMP IN MST'!$Z9="DST",'[1]LMP IN MST'!$AA9="SF",'[1]LMP IN MST'!$AB9="MAR"),'[1]LMP IN PPT'!M11,IF(AND('[1]LMP IN PPT'!$A11='[1]LMP IN MST'!$A9,'[1]LMP IN MST'!$Z9="DST",'[1]LMP IN MST'!$AA9="NORM",'[1]LMP IN MST'!$AB9="NOV"),'[1]LMP IN PPT'!N11,IF(AND('[1]LMP IN PPT'!$A11='[1]LMP IN MST'!$A9,'[1]LMP IN MST'!$Z9="DST",'[1]LMP IN MST'!$AA9="NORM",OR('[1]LMP IN MST'!$AB9="MAR",'[1]LMP IN MST'!$AB9="")),'[1]LMP IN PPT'!M11,0))))))</f>
        <v>23.6235</v>
      </c>
      <c r="K9">
        <f>IF(AND('[1]LMP IN PPT'!$A11='[1]LMP IN MST'!$A9,'[1]LMP IN MST'!$Z9="ST",'[1]LMP IN MST'!$AA9="NORM",OR('[1]LMP IN MST'!$AB9="MAR",'[1]LMP IN MST'!$AB9="")),'[1]LMP IN PPT'!M11,IF(AND('[1]LMP IN PPT'!$A11='[1]LMP IN MST'!$A9,'[1]LMP IN MST'!$Z9="DST",'[1]LMP IN MST'!$AA9="FB",'[1]LMP IN MST'!$AB9="NOV"),'[1]LMP IN PPT'!N11,IF(AND('[1]LMP IN PPT'!$A11='[1]LMP IN MST'!$A9,'[1]LMP IN MST'!$Z9="ST",'[1]LMP IN MST'!$AA9="NORM",'[1]LMP IN MST'!$AB9="NOV"),'[1]LMP IN PPT'!N11,IF(AND('[1]LMP IN PPT'!$A11='[1]LMP IN MST'!$A9,'[1]LMP IN MST'!$Z9="DST",'[1]LMP IN MST'!$AA9="SF",'[1]LMP IN MST'!$AB9="MAR"),'[1]LMP IN PPT'!N11,IF(AND('[1]LMP IN PPT'!$A11='[1]LMP IN MST'!$A9,'[1]LMP IN MST'!$Z9="DST",'[1]LMP IN MST'!$AA9="NORM",'[1]LMP IN MST'!$AB9="NOV"),'[1]LMP IN PPT'!O11,IF(AND('[1]LMP IN PPT'!$A11='[1]LMP IN MST'!$A9,'[1]LMP IN MST'!$Z9="DST",'[1]LMP IN MST'!$AA9="NORM",OR('[1]LMP IN MST'!$AB9="MAR",'[1]LMP IN MST'!$AB9="")),'[1]LMP IN PPT'!N11,0))))))</f>
        <v>-14.49868</v>
      </c>
      <c r="L9">
        <f>IF(AND('[1]LMP IN PPT'!$A11='[1]LMP IN MST'!$A9,'[1]LMP IN MST'!$Z9="ST",'[1]LMP IN MST'!$AA9="NORM",OR('[1]LMP IN MST'!$AB9="MAR",'[1]LMP IN MST'!$AB9="")),'[1]LMP IN PPT'!N11,IF(AND('[1]LMP IN PPT'!$A11='[1]LMP IN MST'!$A9,'[1]LMP IN MST'!$Z9="DST",'[1]LMP IN MST'!$AA9="FB",'[1]LMP IN MST'!$AB9="NOV"),'[1]LMP IN PPT'!O11,IF(AND('[1]LMP IN PPT'!$A11='[1]LMP IN MST'!$A9,'[1]LMP IN MST'!$Z9="ST",'[1]LMP IN MST'!$AA9="NORM",'[1]LMP IN MST'!$AB9="NOV"),'[1]LMP IN PPT'!O11,IF(AND('[1]LMP IN PPT'!$A11='[1]LMP IN MST'!$A9,'[1]LMP IN MST'!$Z9="DST",'[1]LMP IN MST'!$AA9="SF",'[1]LMP IN MST'!$AB9="MAR"),'[1]LMP IN PPT'!O11,IF(AND('[1]LMP IN PPT'!$A11='[1]LMP IN MST'!$A9,'[1]LMP IN MST'!$Z9="DST",'[1]LMP IN MST'!$AA9="NORM",'[1]LMP IN MST'!$AB9="NOV"),'[1]LMP IN PPT'!P11,IF(AND('[1]LMP IN PPT'!$A11='[1]LMP IN MST'!$A9,'[1]LMP IN MST'!$Z9="DST",'[1]LMP IN MST'!$AA9="NORM",OR('[1]LMP IN MST'!$AB9="MAR",'[1]LMP IN MST'!$AB9="")),'[1]LMP IN PPT'!O11,0))))))</f>
        <v>-26.332450000000001</v>
      </c>
      <c r="M9">
        <f>IF(AND('[1]LMP IN PPT'!$A11='[1]LMP IN MST'!$A9,'[1]LMP IN MST'!$Z9="ST",'[1]LMP IN MST'!$AA9="NORM",OR('[1]LMP IN MST'!$AB9="MAR",'[1]LMP IN MST'!$AB9="")),'[1]LMP IN PPT'!O11,IF(AND('[1]LMP IN PPT'!$A11='[1]LMP IN MST'!$A9,'[1]LMP IN MST'!$Z9="DST",'[1]LMP IN MST'!$AA9="FB",'[1]LMP IN MST'!$AB9="NOV"),'[1]LMP IN PPT'!P11,IF(AND('[1]LMP IN PPT'!$A11='[1]LMP IN MST'!$A9,'[1]LMP IN MST'!$Z9="ST",'[1]LMP IN MST'!$AA9="NORM",'[1]LMP IN MST'!$AB9="NOV"),'[1]LMP IN PPT'!P11,IF(AND('[1]LMP IN PPT'!$A11='[1]LMP IN MST'!$A9,'[1]LMP IN MST'!$Z9="DST",'[1]LMP IN MST'!$AA9="SF",'[1]LMP IN MST'!$AB9="MAR"),'[1]LMP IN PPT'!P11,IF(AND('[1]LMP IN PPT'!$A11='[1]LMP IN MST'!$A9,'[1]LMP IN MST'!$Z9="DST",'[1]LMP IN MST'!$AA9="NORM",'[1]LMP IN MST'!$AB9="NOV"),'[1]LMP IN PPT'!Q11,IF(AND('[1]LMP IN PPT'!$A11='[1]LMP IN MST'!$A9,'[1]LMP IN MST'!$Z9="DST",'[1]LMP IN MST'!$AA9="NORM",OR('[1]LMP IN MST'!$AB9="MAR",'[1]LMP IN MST'!$AB9="")),'[1]LMP IN PPT'!P11,0))))))</f>
        <v>-31.474060000000001</v>
      </c>
      <c r="N9">
        <f>IF(AND('[1]LMP IN PPT'!$A11='[1]LMP IN MST'!$A9,'[1]LMP IN MST'!$Z9="ST",'[1]LMP IN MST'!$AA9="NORM",OR('[1]LMP IN MST'!$AB9="MAR",'[1]LMP IN MST'!$AB9="")),'[1]LMP IN PPT'!P11,IF(AND('[1]LMP IN PPT'!$A11='[1]LMP IN MST'!$A9,'[1]LMP IN MST'!$Z9="DST",'[1]LMP IN MST'!$AA9="FB",'[1]LMP IN MST'!$AB9="NOV"),'[1]LMP IN PPT'!Q11,IF(AND('[1]LMP IN PPT'!$A11='[1]LMP IN MST'!$A9,'[1]LMP IN MST'!$Z9="ST",'[1]LMP IN MST'!$AA9="NORM",'[1]LMP IN MST'!$AB9="NOV"),'[1]LMP IN PPT'!Q11,IF(AND('[1]LMP IN PPT'!$A11='[1]LMP IN MST'!$A9,'[1]LMP IN MST'!$Z9="DST",'[1]LMP IN MST'!$AA9="SF",'[1]LMP IN MST'!$AB9="MAR"),'[1]LMP IN PPT'!Q11,IF(AND('[1]LMP IN PPT'!$A11='[1]LMP IN MST'!$A9,'[1]LMP IN MST'!$Z9="DST",'[1]LMP IN MST'!$AA9="NORM",'[1]LMP IN MST'!$AB9="NOV"),'[1]LMP IN PPT'!R11,IF(AND('[1]LMP IN PPT'!$A11='[1]LMP IN MST'!$A9,'[1]LMP IN MST'!$Z9="DST",'[1]LMP IN MST'!$AA9="NORM",OR('[1]LMP IN MST'!$AB9="MAR",'[1]LMP IN MST'!$AB9="")),'[1]LMP IN PPT'!Q11,0))))))</f>
        <v>-33.50703</v>
      </c>
      <c r="O9">
        <f>IF(AND('[1]LMP IN PPT'!$A11='[1]LMP IN MST'!$A9,'[1]LMP IN MST'!$Z9="ST",'[1]LMP IN MST'!$AA9="NORM",OR('[1]LMP IN MST'!$AB9="MAR",'[1]LMP IN MST'!$AB9="")),'[1]LMP IN PPT'!Q11,IF(AND('[1]LMP IN PPT'!$A11='[1]LMP IN MST'!$A9,'[1]LMP IN MST'!$Z9="DST",'[1]LMP IN MST'!$AA9="FB",'[1]LMP IN MST'!$AB9="NOV"),'[1]LMP IN PPT'!R11,IF(AND('[1]LMP IN PPT'!$A11='[1]LMP IN MST'!$A9,'[1]LMP IN MST'!$Z9="ST",'[1]LMP IN MST'!$AA9="NORM",'[1]LMP IN MST'!$AB9="NOV"),'[1]LMP IN PPT'!R11,IF(AND('[1]LMP IN PPT'!$A11='[1]LMP IN MST'!$A9,'[1]LMP IN MST'!$Z9="DST",'[1]LMP IN MST'!$AA9="SF",'[1]LMP IN MST'!$AB9="MAR"),'[1]LMP IN PPT'!R11,IF(AND('[1]LMP IN PPT'!$A11='[1]LMP IN MST'!$A9,'[1]LMP IN MST'!$Z9="DST",'[1]LMP IN MST'!$AA9="NORM",'[1]LMP IN MST'!$AB9="NOV"),'[1]LMP IN PPT'!S11,IF(AND('[1]LMP IN PPT'!$A11='[1]LMP IN MST'!$A9,'[1]LMP IN MST'!$Z9="DST",'[1]LMP IN MST'!$AA9="NORM",OR('[1]LMP IN MST'!$AB9="MAR",'[1]LMP IN MST'!$AB9="")),'[1]LMP IN PPT'!R11,0))))))</f>
        <v>-34.173780000000001</v>
      </c>
      <c r="P9">
        <f>IF(AND('[1]LMP IN PPT'!$A11='[1]LMP IN MST'!$A9,'[1]LMP IN MST'!$Z9="ST",'[1]LMP IN MST'!$AA9="NORM",OR('[1]LMP IN MST'!$AB9="MAR",'[1]LMP IN MST'!$AB9="")),'[1]LMP IN PPT'!R11,IF(AND('[1]LMP IN PPT'!$A11='[1]LMP IN MST'!$A9,'[1]LMP IN MST'!$Z9="DST",'[1]LMP IN MST'!$AA9="FB",'[1]LMP IN MST'!$AB9="NOV"),'[1]LMP IN PPT'!S11,IF(AND('[1]LMP IN PPT'!$A11='[1]LMP IN MST'!$A9,'[1]LMP IN MST'!$Z9="ST",'[1]LMP IN MST'!$AA9="NORM",'[1]LMP IN MST'!$AB9="NOV"),'[1]LMP IN PPT'!S11,IF(AND('[1]LMP IN PPT'!$A11='[1]LMP IN MST'!$A9,'[1]LMP IN MST'!$Z9="DST",'[1]LMP IN MST'!$AA9="SF",'[1]LMP IN MST'!$AB9="MAR"),'[1]LMP IN PPT'!S11,IF(AND('[1]LMP IN PPT'!$A11='[1]LMP IN MST'!$A9,'[1]LMP IN MST'!$Z9="DST",'[1]LMP IN MST'!$AA9="NORM",'[1]LMP IN MST'!$AB9="NOV"),'[1]LMP IN PPT'!T11,IF(AND('[1]LMP IN PPT'!$A11='[1]LMP IN MST'!$A9,'[1]LMP IN MST'!$Z9="DST",'[1]LMP IN MST'!$AA9="NORM",OR('[1]LMP IN MST'!$AB9="MAR",'[1]LMP IN MST'!$AB9="")),'[1]LMP IN PPT'!S11,0))))))</f>
        <v>-33.737929999999999</v>
      </c>
      <c r="Q9">
        <f>IF(AND('[1]LMP IN PPT'!$A11='[1]LMP IN MST'!$A9,'[1]LMP IN MST'!$Z9="ST",'[1]LMP IN MST'!$AA9="NORM",OR('[1]LMP IN MST'!$AB9="MAR",'[1]LMP IN MST'!$AB9="")),'[1]LMP IN PPT'!S11,IF(AND('[1]LMP IN PPT'!$A11='[1]LMP IN MST'!$A9,'[1]LMP IN MST'!$Z9="DST",'[1]LMP IN MST'!$AA9="FB",'[1]LMP IN MST'!$AB9="NOV"),'[1]LMP IN PPT'!T11,IF(AND('[1]LMP IN PPT'!$A11='[1]LMP IN MST'!$A9,'[1]LMP IN MST'!$Z9="ST",'[1]LMP IN MST'!$AA9="NORM",'[1]LMP IN MST'!$AB9="NOV"),'[1]LMP IN PPT'!T11,IF(AND('[1]LMP IN PPT'!$A11='[1]LMP IN MST'!$A9,'[1]LMP IN MST'!$Z9="DST",'[1]LMP IN MST'!$AA9="SF",'[1]LMP IN MST'!$AB9="MAR"),'[1]LMP IN PPT'!T11,IF(AND('[1]LMP IN PPT'!$A11='[1]LMP IN MST'!$A9,'[1]LMP IN MST'!$Z9="DST",'[1]LMP IN MST'!$AA9="NORM",'[1]LMP IN MST'!$AB9="NOV"),'[1]LMP IN PPT'!U11,IF(AND('[1]LMP IN PPT'!$A11='[1]LMP IN MST'!$A9,'[1]LMP IN MST'!$Z9="DST",'[1]LMP IN MST'!$AA9="NORM",OR('[1]LMP IN MST'!$AB9="MAR",'[1]LMP IN MST'!$AB9="")),'[1]LMP IN PPT'!T11,0))))))</f>
        <v>-32.9895</v>
      </c>
      <c r="R9">
        <f>IF(AND('[1]LMP IN PPT'!$A11='[1]LMP IN MST'!$A9,'[1]LMP IN MST'!$Z9="ST",'[1]LMP IN MST'!$AA9="NORM",OR('[1]LMP IN MST'!$AB9="MAR",'[1]LMP IN MST'!$AB9="")),'[1]LMP IN PPT'!T11,IF(AND('[1]LMP IN PPT'!$A11='[1]LMP IN MST'!$A9,'[1]LMP IN MST'!$Z9="DST",'[1]LMP IN MST'!$AA9="FB",'[1]LMP IN MST'!$AB9="NOV"),'[1]LMP IN PPT'!U11,IF(AND('[1]LMP IN PPT'!$A11='[1]LMP IN MST'!$A9,'[1]LMP IN MST'!$Z9="ST",'[1]LMP IN MST'!$AA9="NORM",'[1]LMP IN MST'!$AB9="NOV"),'[1]LMP IN PPT'!U11,IF(AND('[1]LMP IN PPT'!$A11='[1]LMP IN MST'!$A9,'[1]LMP IN MST'!$Z9="DST",'[1]LMP IN MST'!$AA9="SF",'[1]LMP IN MST'!$AB9="MAR"),'[1]LMP IN PPT'!U11,IF(AND('[1]LMP IN PPT'!$A11='[1]LMP IN MST'!$A9,'[1]LMP IN MST'!$Z9="DST",'[1]LMP IN MST'!$AA9="NORM",'[1]LMP IN MST'!$AB9="NOV"),'[1]LMP IN PPT'!V11,IF(AND('[1]LMP IN PPT'!$A11='[1]LMP IN MST'!$A9,'[1]LMP IN MST'!$Z9="DST",'[1]LMP IN MST'!$AA9="NORM",OR('[1]LMP IN MST'!$AB9="MAR",'[1]LMP IN MST'!$AB9="")),'[1]LMP IN PPT'!U11,0))))))</f>
        <v>-29.228750000000002</v>
      </c>
      <c r="S9">
        <f>IF(AND('[1]LMP IN PPT'!$A11='[1]LMP IN MST'!$A9,'[1]LMP IN MST'!$Z9="ST",'[1]LMP IN MST'!$AA9="NORM",OR('[1]LMP IN MST'!$AB9="MAR",'[1]LMP IN MST'!$AB9="")),'[1]LMP IN PPT'!U11,IF(AND('[1]LMP IN PPT'!$A11='[1]LMP IN MST'!$A9,'[1]LMP IN MST'!$Z9="DST",'[1]LMP IN MST'!$AA9="FB",'[1]LMP IN MST'!$AB9="NOV"),'[1]LMP IN PPT'!V11,IF(AND('[1]LMP IN PPT'!$A11='[1]LMP IN MST'!$A9,'[1]LMP IN MST'!$Z9="ST",'[1]LMP IN MST'!$AA9="NORM",'[1]LMP IN MST'!$AB9="NOV"),'[1]LMP IN PPT'!V11,IF(AND('[1]LMP IN PPT'!$A11='[1]LMP IN MST'!$A9,'[1]LMP IN MST'!$Z9="DST",'[1]LMP IN MST'!$AA9="SF",'[1]LMP IN MST'!$AB9="MAR"),'[1]LMP IN PPT'!V11,IF(AND('[1]LMP IN PPT'!$A11='[1]LMP IN MST'!$A9,'[1]LMP IN MST'!$Z9="DST",'[1]LMP IN MST'!$AA9="NORM",'[1]LMP IN MST'!$AB9="NOV"),'[1]LMP IN PPT'!W11,IF(AND('[1]LMP IN PPT'!$A11='[1]LMP IN MST'!$A9,'[1]LMP IN MST'!$Z9="DST",'[1]LMP IN MST'!$AA9="NORM",OR('[1]LMP IN MST'!$AB9="MAR",'[1]LMP IN MST'!$AB9="")),'[1]LMP IN PPT'!V11,0))))))</f>
        <v>2.2793199999999998</v>
      </c>
      <c r="T9">
        <f>IF(AND('[1]LMP IN PPT'!$A11='[1]LMP IN MST'!$A9,'[1]LMP IN MST'!$Z9="ST",'[1]LMP IN MST'!$AA9="NORM",OR('[1]LMP IN MST'!$AB9="MAR",'[1]LMP IN MST'!$AB9="")),'[1]LMP IN PPT'!V11,IF(AND('[1]LMP IN PPT'!$A11='[1]LMP IN MST'!$A9,'[1]LMP IN MST'!$Z9="DST",'[1]LMP IN MST'!$AA9="FB",'[1]LMP IN MST'!$AB9="NOV"),'[1]LMP IN PPT'!W11,IF(AND('[1]LMP IN PPT'!$A11='[1]LMP IN MST'!$A9,'[1]LMP IN MST'!$Z9="ST",'[1]LMP IN MST'!$AA9="NORM",'[1]LMP IN MST'!$AB9="NOV"),'[1]LMP IN PPT'!W11,IF(AND('[1]LMP IN PPT'!$A11='[1]LMP IN MST'!$A9,'[1]LMP IN MST'!$Z9="DST",'[1]LMP IN MST'!$AA9="SF",'[1]LMP IN MST'!$AB9="MAR"),'[1]LMP IN PPT'!W11,IF(AND('[1]LMP IN PPT'!$A11='[1]LMP IN MST'!$A9,'[1]LMP IN MST'!$Z9="DST",'[1]LMP IN MST'!$AA9="NORM",'[1]LMP IN MST'!$AB9="NOV"),'[1]LMP IN PPT'!X11,IF(AND('[1]LMP IN PPT'!$A11='[1]LMP IN MST'!$A9,'[1]LMP IN MST'!$Z9="DST",'[1]LMP IN MST'!$AA9="NORM",OR('[1]LMP IN MST'!$AB9="MAR",'[1]LMP IN MST'!$AB9="")),'[1]LMP IN PPT'!W11,0))))))</f>
        <v>53.730899999999998</v>
      </c>
      <c r="U9">
        <f>IF(AND('[1]LMP IN PPT'!$A11='[1]LMP IN MST'!$A9,'[1]LMP IN MST'!$Z9="ST",'[1]LMP IN MST'!$AA9="NORM",OR('[1]LMP IN MST'!$AB9="MAR",'[1]LMP IN MST'!$AB9="")),'[1]LMP IN PPT'!W11,IF(AND('[1]LMP IN PPT'!$A11='[1]LMP IN MST'!$A9,'[1]LMP IN MST'!$Z9="DST",'[1]LMP IN MST'!$AA9="FB",'[1]LMP IN MST'!$AB9="NOV"),'[1]LMP IN PPT'!X11,IF(AND('[1]LMP IN PPT'!$A11='[1]LMP IN MST'!$A9,'[1]LMP IN MST'!$Z9="ST",'[1]LMP IN MST'!$AA9="NORM",'[1]LMP IN MST'!$AB9="NOV"),'[1]LMP IN PPT'!X11,IF(AND('[1]LMP IN PPT'!$A11='[1]LMP IN MST'!$A9,'[1]LMP IN MST'!$Z9="DST",'[1]LMP IN MST'!$AA9="SF",'[1]LMP IN MST'!$AB9="MAR"),'[1]LMP IN PPT'!X11,IF(AND('[1]LMP IN PPT'!$A11='[1]LMP IN MST'!$A9,'[1]LMP IN MST'!$Z9="DST",'[1]LMP IN MST'!$AA9="NORM",'[1]LMP IN MST'!$AB9="NOV"),'[1]LMP IN PPT'!Y11,IF(AND('[1]LMP IN PPT'!$A11='[1]LMP IN MST'!$A9,'[1]LMP IN MST'!$Z9="DST",'[1]LMP IN MST'!$AA9="NORM",OR('[1]LMP IN MST'!$AB9="MAR",'[1]LMP IN MST'!$AB9="")),'[1]LMP IN PPT'!X11,0))))))</f>
        <v>56.584719999999997</v>
      </c>
      <c r="V9">
        <f>IF(AND('[1]LMP IN PPT'!$A11='[1]LMP IN MST'!$A9,'[1]LMP IN MST'!$Z9="ST",'[1]LMP IN MST'!$AA9="NORM",OR('[1]LMP IN MST'!$AB9="MAR",'[1]LMP IN MST'!$AB9="")),'[1]LMP IN PPT'!X11,IF(AND('[1]LMP IN PPT'!$A11='[1]LMP IN MST'!$A9,'[1]LMP IN MST'!$Z9="DST",'[1]LMP IN MST'!$AA9="FB",'[1]LMP IN MST'!$AB9="NOV"),'[1]LMP IN PPT'!Y11,IF(AND('[1]LMP IN PPT'!$A11='[1]LMP IN MST'!$A9,'[1]LMP IN MST'!$Z9="ST",'[1]LMP IN MST'!$AA9="NORM",'[1]LMP IN MST'!$AB9="NOV"),'[1]LMP IN PPT'!Y11,IF(AND('[1]LMP IN PPT'!$A11='[1]LMP IN MST'!$A9,'[1]LMP IN MST'!$Z9="DST",'[1]LMP IN MST'!$AA9="SF",'[1]LMP IN MST'!$AB9="MAR"),'[1]LMP IN PPT'!Y11,IF(AND('[1]LMP IN PPT'!$A11='[1]LMP IN MST'!$A9,'[1]LMP IN MST'!$Z9="DST",'[1]LMP IN MST'!$AA9="NORM",'[1]LMP IN MST'!$AB9="NOV"),'[1]LMP IN PPT'!Z11,IF(AND('[1]LMP IN PPT'!$A11='[1]LMP IN MST'!$A9,'[1]LMP IN MST'!$Z9="DST",'[1]LMP IN MST'!$AA9="NORM",OR('[1]LMP IN MST'!$AB9="MAR",'[1]LMP IN MST'!$AB9="")),'[1]LMP IN PPT'!Y11,0))))))</f>
        <v>53.950099999999999</v>
      </c>
      <c r="W9">
        <f>IF(AND('[1]LMP IN PPT'!$A11='[1]LMP IN MST'!$A9,'[1]LMP IN MST'!$Z9="ST",'[1]LMP IN MST'!$AA9="NORM",OR('[1]LMP IN MST'!$AB9="MAR",'[1]LMP IN MST'!$AB9="")),'[1]LMP IN PPT'!Y11,IF(AND('[1]LMP IN PPT'!$A11='[1]LMP IN MST'!$A9,'[1]LMP IN MST'!$Z9="DST",'[1]LMP IN MST'!$AA9="FB",'[1]LMP IN MST'!$AB9="NOV"),'[1]LMP IN PPT'!Z11,IF(AND('[1]LMP IN PPT'!$A11='[1]LMP IN MST'!$A9,'[1]LMP IN MST'!$Z9="ST",'[1]LMP IN MST'!$AA9="NORM",'[1]LMP IN MST'!$AB9="NOV"),'[1]LMP IN PPT'!Z11,IF(AND('[1]LMP IN PPT'!$A11='[1]LMP IN MST'!$A9,'[1]LMP IN MST'!$Z9="DST",'[1]LMP IN MST'!$AA9="SF",'[1]LMP IN MST'!$AB9="MAR"),'[1]LMP IN PPT'!Z11,IF(AND('[1]LMP IN PPT'!$A11='[1]LMP IN MST'!$A9,'[1]LMP IN MST'!$Z9="DST",'[1]LMP IN MST'!$AA9="NORM",'[1]LMP IN MST'!$AB9="NOV"),'[1]LMP IN PPT'!AA11,IF(AND('[1]LMP IN PPT'!$A11='[1]LMP IN MST'!$A9,'[1]LMP IN MST'!$Z9="DST",'[1]LMP IN MST'!$AA9="NORM",OR('[1]LMP IN MST'!$AB9="MAR",'[1]LMP IN MST'!$AB9="")),'[1]LMP IN PPT'!Z11,0))))))</f>
        <v>53.806739999999998</v>
      </c>
      <c r="X9">
        <f>IF(AND('[1]LMP IN PPT'!$A11='[1]LMP IN MST'!$A9,'[1]LMP IN MST'!$Z9="ST",'[1]LMP IN MST'!$AA9="NORM",OR('[1]LMP IN MST'!$AB9="MAR",'[1]LMP IN MST'!$AB9="")),'[1]LMP IN PPT'!Z11,IF(AND('[1]LMP IN PPT'!$A11='[1]LMP IN MST'!$A9,'[1]LMP IN MST'!$Z9="DST",'[1]LMP IN MST'!$AA9="FB",'[1]LMP IN MST'!$AB9="NOV"),'[1]LMP IN PPT'!AA11,IF(AND('[1]LMP IN PPT'!$A11='[1]LMP IN MST'!$A9,'[1]LMP IN MST'!$Z9="ST",'[1]LMP IN MST'!$AA9="NORM",'[1]LMP IN MST'!$AB9="NOV"),'[1]LMP IN PPT'!AA11,IF(AND('[1]LMP IN PPT'!$A11='[1]LMP IN MST'!$A9,'[1]LMP IN MST'!$Z9="DST",'[1]LMP IN MST'!$AA9="SF",'[1]LMP IN MST'!$AB9="MAR"),'[1]LMP IN PPT'!AA11,IF(AND('[1]LMP IN PPT'!$A11='[1]LMP IN MST'!$A9,'[1]LMP IN MST'!$Z9="DST",'[1]LMP IN MST'!$AA9="NORM",'[1]LMP IN MST'!$AB9="NOV"),'[1]LMP IN PPT'!AB11,IF(AND('[1]LMP IN PPT'!$A11='[1]LMP IN MST'!$A9,'[1]LMP IN MST'!$Z9="DST",'[1]LMP IN MST'!$AA9="NORM",OR('[1]LMP IN MST'!$AB9="MAR",'[1]LMP IN MST'!$AB9="")),'[1]LMP IN PPT'!AA11,0))))))</f>
        <v>53.171909999999997</v>
      </c>
      <c r="Y9">
        <f>IF(AND('[1]LMP IN PPT'!$A11='[1]LMP IN MST'!$A9,'[1]LMP IN MST'!$Z9="ST",'[1]LMP IN MST'!$AA9="NORM",OR('[1]LMP IN MST'!$AB9="MAR",'[1]LMP IN MST'!$AB9="")),'[1]LMP IN PPT'!AA11,IF(AND('[1]LMP IN PPT'!$A11='[1]LMP IN MST'!$A9,'[1]LMP IN MST'!$Z9="DST",'[1]LMP IN MST'!$AA9="FB",'[1]LMP IN MST'!$AB9="NOV"),'[1]LMP IN PPT'!AB11,IF(AND('[1]LMP IN PPT'!$A11='[1]LMP IN MST'!$A9,'[1]LMP IN MST'!$Z9="ST",'[1]LMP IN MST'!$AA9="NORM",'[1]LMP IN MST'!$AB9="NOV"),'[1]LMP IN PPT'!AB11,IF(AND('[1]LMP IN PPT'!$A11='[1]LMP IN MST'!$A9,'[1]LMP IN MST'!$Z9="DST",'[1]LMP IN MST'!$AA9="SF",'[1]LMP IN MST'!$AB9="MAR"),'[1]LMP IN PPT'!AB11,IF(AND('[1]LMP IN PPT'!$A11='[1]LMP IN MST'!$A9,'[1]LMP IN MST'!$Z9="DST",'[1]LMP IN MST'!$AA9="NORM",'[1]LMP IN MST'!$AB9="NOV"),'[1]LMP IN PPT'!AC11,IF(AND('[1]LMP IN PPT'!$A11='[1]LMP IN MST'!$A9,'[1]LMP IN MST'!$Z9="DST",'[1]LMP IN MST'!$AA9="NORM",OR('[1]LMP IN MST'!$AB9="MAR",'[1]LMP IN MST'!$AB9="")),'[1]LMP IN PPT'!AB11,0))))))</f>
        <v>52.907629999999997</v>
      </c>
    </row>
    <row r="10" spans="1:25" x14ac:dyDescent="0.3">
      <c r="A10" s="1">
        <f t="shared" si="0"/>
        <v>45360</v>
      </c>
      <c r="B10">
        <f>IF(AND('[1]LMP IN PPT'!$A12='[1]LMP IN MST'!$A10,'[1]LMP IN MST'!$Z10="ST",'[1]LMP IN MST'!$AA10="NORM",'[1]LMP IN MST'!$AB10="NOV"),'[1]LMP IN PPT'!AC11,IF(AND('[1]LMP IN PPT'!$A12='[1]LMP IN MST'!$A10,'[1]LMP IN MST'!$Z10="ST",'[1]LMP IN MST'!$AA10="NORM",'[1]LMP IN MST'!$AB10="MAR"),'[1]LMP IN PPT'!AB11,IF(AND('[1]LMP IN PPT'!$A12='[1]LMP IN MST'!$A10,'[1]LMP IN MST'!$Z10="ST",'[1]LMP IN MST'!$AA10="NORM",'[1]LMP IN MST'!$AB10=""),'[1]LMP IN PPT'!AB11,IF(AND('[1]LMP IN PPT'!$A12='[1]LMP IN MST'!$A10,'[1]LMP IN MST'!$Z10="DST",'[1]LMP IN MST'!$AA10="FB",'[1]LMP IN MST'!$AB10="NOV"),'[1]LMP IN PPT'!E12,IF(AND('[1]LMP IN PPT'!$A12='[1]LMP IN MST'!$A10,'[1]LMP IN MST'!$Z10="DST",'[1]LMP IN MST'!$AA10="SF",'[1]LMP IN MST'!$AB10="MAR"),'[1]LMP IN PPT'!AB11,IF(AND('[1]LMP IN PPT'!$A12='[1]LMP IN MST'!$A10,'[1]LMP IN MST'!$Z10="DST",'[1]LMP IN MST'!$AA10="NORM",OR('[1]LMP IN MST'!$AB10="MAR",'[1]LMP IN MST'!$AB10="",'[1]LMP IN MST'!$AB10="NOV")),'[1]LMP IN PPT'!E12,0))))))</f>
        <v>46.939410000000002</v>
      </c>
      <c r="C10">
        <f>IF(AND('[1]LMP IN PPT'!$A12='[1]LMP IN MST'!$A10,'[1]LMP IN MST'!$Z10="ST",'[1]LMP IN MST'!$AA10="NORM",OR('[1]LMP IN MST'!$AB10="NOV",'[1]LMP IN MST'!$AB10="MAR",'[1]LMP IN MST'!$AB10="")),'[1]LMP IN PPT'!E12,IF(AND('[1]LMP IN PPT'!$A12='[1]LMP IN MST'!$A10,'[1]LMP IN MST'!$Z10="DST",'[1]LMP IN MST'!$AA10="FB",'[1]LMP IN MST'!$AB10="NOV"),'[1]LMP IN PPT'!F12,IF(AND('[1]LMP IN PPT'!$A12='[1]LMP IN MST'!$A10,'[1]LMP IN MST'!$Z10="DST",'[1]LMP IN MST'!$AA10="SF",'[1]LMP IN MST'!$AB10="MAR"),'[1]LMP IN PPT'!E12,IF(AND('[1]LMP IN PPT'!$A12='[1]LMP IN MST'!$A10,'[1]LMP IN MST'!$Z10="DST",'[1]LMP IN MST'!$AA10="NORM",OR('[1]LMP IN MST'!$AB10="MAR",'[1]LMP IN MST'!$AB10="",'[1]LMP IN MST'!$AB10="NOV")),'[1]LMP IN PPT'!F12,0))))</f>
        <v>41.855429999999998</v>
      </c>
      <c r="D10">
        <f>IF(AND('[1]LMP IN PPT'!$A12='[1]LMP IN MST'!$A10,'[1]LMP IN MST'!$Z10="ST",'[1]LMP IN MST'!$AA10="NORM",OR('[1]LMP IN MST'!$AB10="NOV",'[1]LMP IN MST'!$AB10="MAR",'[1]LMP IN MST'!$AB10="")),'[1]LMP IN PPT'!F12,IF(AND('[1]LMP IN PPT'!$A12='[1]LMP IN MST'!$A10,'[1]LMP IN MST'!$Z10="DST",'[1]LMP IN MST'!$AA10="FB",'[1]LMP IN MST'!$AB10="NOV"),'[1]LMP IN PPT'!G12,IF(AND('[1]LMP IN PPT'!$A12='[1]LMP IN MST'!$A10,'[1]LMP IN MST'!$Z10="DST",'[1]LMP IN MST'!$AA10="SF",'[1]LMP IN MST'!$AB10="MAR"),'[1]LMP IN PPT'!F12,IF(AND('[1]LMP IN PPT'!$A12='[1]LMP IN MST'!$A10,'[1]LMP IN MST'!$Z10="DST",'[1]LMP IN MST'!$AA10="NORM",'[1]LMP IN MST'!$AB10="NOV"),'[1]LMP IN PPT'!H12,IF(AND('[1]LMP IN PPT'!$A12='[1]LMP IN MST'!$A10,'[1]LMP IN MST'!$Z10="DST",'[1]LMP IN MST'!$AA10="NORM",OR('[1]LMP IN MST'!$AB10="MAR",'[1]LMP IN MST'!$AB10="")),'[1]LMP IN PPT'!G12,0)))))</f>
        <v>40.31671</v>
      </c>
      <c r="E10">
        <f>IF(AND('[1]LMP IN PPT'!$A12='[1]LMP IN MST'!$A10,'[1]LMP IN MST'!$Z10="ST",'[1]LMP IN MST'!$AA10="NORM",OR('[1]LMP IN MST'!$AB10="MAR",'[1]LMP IN MST'!$AB10="")),'[1]LMP IN PPT'!G12,IF(AND('[1]LMP IN PPT'!$A12='[1]LMP IN MST'!$A10,'[1]LMP IN MST'!$Z10="DST",'[1]LMP IN MST'!$AA10="FB",'[1]LMP IN MST'!$AB10="NOV"),'[1]LMP IN PPT'!H12,IF(AND('[1]LMP IN PPT'!$A12='[1]LMP IN MST'!$A10,'[1]LMP IN MST'!$Z10="ST",'[1]LMP IN MST'!$AA10="NORM",'[1]LMP IN MST'!$AB10="NOV"),'[1]LMP IN PPT'!H12,IF(AND('[1]LMP IN PPT'!$A12='[1]LMP IN MST'!$A10,'[1]LMP IN MST'!$Z10="DST",'[1]LMP IN MST'!$AA10="SF",'[1]LMP IN MST'!$AB10="MAR"),'[1]LMP IN PPT'!H12,IF(AND('[1]LMP IN PPT'!$A12='[1]LMP IN MST'!$A10,'[1]LMP IN MST'!$Z10="DST",'[1]LMP IN MST'!$AA10="NORM",'[1]LMP IN MST'!$AB10="NOV"),'[1]LMP IN PPT'!I12,IF(AND('[1]LMP IN PPT'!$A12='[1]LMP IN MST'!$A10,'[1]LMP IN MST'!$Z10="DST",'[1]LMP IN MST'!$AA10="NORM",OR('[1]LMP IN MST'!$AB10="MAR",'[1]LMP IN MST'!$AB10="")),'[1]LMP IN PPT'!H12,0))))))</f>
        <v>39.979669999999999</v>
      </c>
      <c r="F10">
        <f>IF(AND('[1]LMP IN PPT'!$A12='[1]LMP IN MST'!$A10,'[1]LMP IN MST'!$Z10="ST",'[1]LMP IN MST'!$AA10="NORM",OR('[1]LMP IN MST'!$AB10="MAR",'[1]LMP IN MST'!$AB10="")),'[1]LMP IN PPT'!H12,IF(AND('[1]LMP IN PPT'!$A12='[1]LMP IN MST'!$A10,'[1]LMP IN MST'!$Z10="DST",'[1]LMP IN MST'!$AA10="FB",'[1]LMP IN MST'!$AB10="NOV"),'[1]LMP IN PPT'!I12,IF(AND('[1]LMP IN PPT'!$A12='[1]LMP IN MST'!$A10,'[1]LMP IN MST'!$Z10="ST",'[1]LMP IN MST'!$AA10="NORM",'[1]LMP IN MST'!$AB10="NOV"),'[1]LMP IN PPT'!I12,IF(AND('[1]LMP IN PPT'!$A12='[1]LMP IN MST'!$A10,'[1]LMP IN MST'!$Z10="DST",'[1]LMP IN MST'!$AA10="SF",'[1]LMP IN MST'!$AB10="MAR"),'[1]LMP IN PPT'!I12,IF(AND('[1]LMP IN PPT'!$A12='[1]LMP IN MST'!$A10,'[1]LMP IN MST'!$Z10="DST",'[1]LMP IN MST'!$AA10="NORM",'[1]LMP IN MST'!$AB10="NOV"),'[1]LMP IN PPT'!J12,IF(AND('[1]LMP IN PPT'!$A12='[1]LMP IN MST'!$A10,'[1]LMP IN MST'!$Z10="DST",'[1]LMP IN MST'!$AA10="NORM",OR('[1]LMP IN MST'!$AB10="MAR",'[1]LMP IN MST'!$AB10="")),'[1]LMP IN PPT'!I12,0))))))</f>
        <v>37.814920000000001</v>
      </c>
      <c r="G10">
        <f>IF(AND('[1]LMP IN PPT'!$A12='[1]LMP IN MST'!$A10,'[1]LMP IN MST'!$Z10="ST",'[1]LMP IN MST'!$AA10="NORM",OR('[1]LMP IN MST'!$AB10="MAR",'[1]LMP IN MST'!$AB10="")),'[1]LMP IN PPT'!I12,IF(AND('[1]LMP IN PPT'!$A12='[1]LMP IN MST'!$A10,'[1]LMP IN MST'!$Z10="DST",'[1]LMP IN MST'!$AA10="FB",'[1]LMP IN MST'!$AB10="NOV"),'[1]LMP IN PPT'!J12,IF(AND('[1]LMP IN PPT'!$A12='[1]LMP IN MST'!$A10,'[1]LMP IN MST'!$Z10="ST",'[1]LMP IN MST'!$AA10="NORM",'[1]LMP IN MST'!$AB10="NOV"),'[1]LMP IN PPT'!J12,IF(AND('[1]LMP IN PPT'!$A12='[1]LMP IN MST'!$A10,'[1]LMP IN MST'!$Z10="DST",'[1]LMP IN MST'!$AA10="SF",'[1]LMP IN MST'!$AB10="MAR"),'[1]LMP IN PPT'!J12,IF(AND('[1]LMP IN PPT'!$A12='[1]LMP IN MST'!$A10,'[1]LMP IN MST'!$Z10="DST",'[1]LMP IN MST'!$AA10="NORM",'[1]LMP IN MST'!$AB10="NOV"),'[1]LMP IN PPT'!K12,IF(AND('[1]LMP IN PPT'!$A12='[1]LMP IN MST'!$A10,'[1]LMP IN MST'!$Z10="DST",'[1]LMP IN MST'!$AA10="NORM",OR('[1]LMP IN MST'!$AB10="MAR",'[1]LMP IN MST'!$AB10="")),'[1]LMP IN PPT'!J12,0))))))</f>
        <v>39.631549999999997</v>
      </c>
      <c r="H10">
        <f>IF(AND('[1]LMP IN PPT'!$A12='[1]LMP IN MST'!$A10,'[1]LMP IN MST'!$Z10="ST",'[1]LMP IN MST'!$AA10="NORM",OR('[1]LMP IN MST'!$AB10="MAR",'[1]LMP IN MST'!$AB10="")),'[1]LMP IN PPT'!J12,IF(AND('[1]LMP IN PPT'!$A12='[1]LMP IN MST'!$A10,'[1]LMP IN MST'!$Z10="DST",'[1]LMP IN MST'!$AA10="FB",'[1]LMP IN MST'!$AB10="NOV"),'[1]LMP IN PPT'!K12,IF(AND('[1]LMP IN PPT'!$A12='[1]LMP IN MST'!$A10,'[1]LMP IN MST'!$Z10="ST",'[1]LMP IN MST'!$AA10="NORM",'[1]LMP IN MST'!$AB10="NOV"),'[1]LMP IN PPT'!K12,IF(AND('[1]LMP IN PPT'!$A12='[1]LMP IN MST'!$A10,'[1]LMP IN MST'!$Z10="DST",'[1]LMP IN MST'!$AA10="SF",'[1]LMP IN MST'!$AB10="MAR"),'[1]LMP IN PPT'!K12,IF(AND('[1]LMP IN PPT'!$A12='[1]LMP IN MST'!$A10,'[1]LMP IN MST'!$Z10="DST",'[1]LMP IN MST'!$AA10="NORM",'[1]LMP IN MST'!$AB10="NOV"),'[1]LMP IN PPT'!L12,IF(AND('[1]LMP IN PPT'!$A12='[1]LMP IN MST'!$A10,'[1]LMP IN MST'!$Z10="DST",'[1]LMP IN MST'!$AA10="NORM",OR('[1]LMP IN MST'!$AB10="MAR",'[1]LMP IN MST'!$AB10="")),'[1]LMP IN PPT'!K12,0))))))</f>
        <v>44.294849999999997</v>
      </c>
      <c r="I10">
        <f>IF(AND('[1]LMP IN PPT'!$A12='[1]LMP IN MST'!$A10,'[1]LMP IN MST'!$Z10="ST",'[1]LMP IN MST'!$AA10="NORM",OR('[1]LMP IN MST'!$AB10="MAR",'[1]LMP IN MST'!$AB10="")),'[1]LMP IN PPT'!K12,IF(AND('[1]LMP IN PPT'!$A12='[1]LMP IN MST'!$A10,'[1]LMP IN MST'!$Z10="DST",'[1]LMP IN MST'!$AA10="FB",'[1]LMP IN MST'!$AB10="NOV"),'[1]LMP IN PPT'!L12,IF(AND('[1]LMP IN PPT'!$A12='[1]LMP IN MST'!$A10,'[1]LMP IN MST'!$Z10="ST",'[1]LMP IN MST'!$AA10="NORM",'[1]LMP IN MST'!$AB10="NOV"),'[1]LMP IN PPT'!L12,IF(AND('[1]LMP IN PPT'!$A12='[1]LMP IN MST'!$A10,'[1]LMP IN MST'!$Z10="DST",'[1]LMP IN MST'!$AA10="SF",'[1]LMP IN MST'!$AB10="MAR"),'[1]LMP IN PPT'!L12,IF(AND('[1]LMP IN PPT'!$A12='[1]LMP IN MST'!$A10,'[1]LMP IN MST'!$Z10="DST",'[1]LMP IN MST'!$AA10="NORM",'[1]LMP IN MST'!$AB10="NOV"),'[1]LMP IN PPT'!M12,IF(AND('[1]LMP IN PPT'!$A12='[1]LMP IN MST'!$A10,'[1]LMP IN MST'!$Z10="DST",'[1]LMP IN MST'!$AA10="NORM",OR('[1]LMP IN MST'!$AB10="MAR",'[1]LMP IN MST'!$AB10="")),'[1]LMP IN PPT'!L12,0))))))</f>
        <v>47.29974</v>
      </c>
      <c r="J10">
        <f>IF(AND('[1]LMP IN PPT'!$A12='[1]LMP IN MST'!$A10,'[1]LMP IN MST'!$Z10="ST",'[1]LMP IN MST'!$AA10="NORM",OR('[1]LMP IN MST'!$AB10="MAR",'[1]LMP IN MST'!$AB10="")),'[1]LMP IN PPT'!L12,IF(AND('[1]LMP IN PPT'!$A12='[1]LMP IN MST'!$A10,'[1]LMP IN MST'!$Z10="DST",'[1]LMP IN MST'!$AA10="FB",'[1]LMP IN MST'!$AB10="NOV"),'[1]LMP IN PPT'!M12,IF(AND('[1]LMP IN PPT'!$A12='[1]LMP IN MST'!$A10,'[1]LMP IN MST'!$Z10="ST",'[1]LMP IN MST'!$AA10="NORM",'[1]LMP IN MST'!$AB10="NOV"),'[1]LMP IN PPT'!M12,IF(AND('[1]LMP IN PPT'!$A12='[1]LMP IN MST'!$A10,'[1]LMP IN MST'!$Z10="DST",'[1]LMP IN MST'!$AA10="SF",'[1]LMP IN MST'!$AB10="MAR"),'[1]LMP IN PPT'!M12,IF(AND('[1]LMP IN PPT'!$A12='[1]LMP IN MST'!$A10,'[1]LMP IN MST'!$Z10="DST",'[1]LMP IN MST'!$AA10="NORM",'[1]LMP IN MST'!$AB10="NOV"),'[1]LMP IN PPT'!N12,IF(AND('[1]LMP IN PPT'!$A12='[1]LMP IN MST'!$A10,'[1]LMP IN MST'!$Z10="DST",'[1]LMP IN MST'!$AA10="NORM",OR('[1]LMP IN MST'!$AB10="MAR",'[1]LMP IN MST'!$AB10="")),'[1]LMP IN PPT'!M12,0))))))</f>
        <v>16.245450000000002</v>
      </c>
      <c r="K10">
        <f>IF(AND('[1]LMP IN PPT'!$A12='[1]LMP IN MST'!$A10,'[1]LMP IN MST'!$Z10="ST",'[1]LMP IN MST'!$AA10="NORM",OR('[1]LMP IN MST'!$AB10="MAR",'[1]LMP IN MST'!$AB10="")),'[1]LMP IN PPT'!M12,IF(AND('[1]LMP IN PPT'!$A12='[1]LMP IN MST'!$A10,'[1]LMP IN MST'!$Z10="DST",'[1]LMP IN MST'!$AA10="FB",'[1]LMP IN MST'!$AB10="NOV"),'[1]LMP IN PPT'!N12,IF(AND('[1]LMP IN PPT'!$A12='[1]LMP IN MST'!$A10,'[1]LMP IN MST'!$Z10="ST",'[1]LMP IN MST'!$AA10="NORM",'[1]LMP IN MST'!$AB10="NOV"),'[1]LMP IN PPT'!N12,IF(AND('[1]LMP IN PPT'!$A12='[1]LMP IN MST'!$A10,'[1]LMP IN MST'!$Z10="DST",'[1]LMP IN MST'!$AA10="SF",'[1]LMP IN MST'!$AB10="MAR"),'[1]LMP IN PPT'!N12,IF(AND('[1]LMP IN PPT'!$A12='[1]LMP IN MST'!$A10,'[1]LMP IN MST'!$Z10="DST",'[1]LMP IN MST'!$AA10="NORM",'[1]LMP IN MST'!$AB10="NOV"),'[1]LMP IN PPT'!O12,IF(AND('[1]LMP IN PPT'!$A12='[1]LMP IN MST'!$A10,'[1]LMP IN MST'!$Z10="DST",'[1]LMP IN MST'!$AA10="NORM",OR('[1]LMP IN MST'!$AB10="MAR",'[1]LMP IN MST'!$AB10="")),'[1]LMP IN PPT'!N12,0))))))</f>
        <v>-14.714270000000001</v>
      </c>
      <c r="L10">
        <f>IF(AND('[1]LMP IN PPT'!$A12='[1]LMP IN MST'!$A10,'[1]LMP IN MST'!$Z10="ST",'[1]LMP IN MST'!$AA10="NORM",OR('[1]LMP IN MST'!$AB10="MAR",'[1]LMP IN MST'!$AB10="")),'[1]LMP IN PPT'!N12,IF(AND('[1]LMP IN PPT'!$A12='[1]LMP IN MST'!$A10,'[1]LMP IN MST'!$Z10="DST",'[1]LMP IN MST'!$AA10="FB",'[1]LMP IN MST'!$AB10="NOV"),'[1]LMP IN PPT'!O12,IF(AND('[1]LMP IN PPT'!$A12='[1]LMP IN MST'!$A10,'[1]LMP IN MST'!$Z10="ST",'[1]LMP IN MST'!$AA10="NORM",'[1]LMP IN MST'!$AB10="NOV"),'[1]LMP IN PPT'!O12,IF(AND('[1]LMP IN PPT'!$A12='[1]LMP IN MST'!$A10,'[1]LMP IN MST'!$Z10="DST",'[1]LMP IN MST'!$AA10="SF",'[1]LMP IN MST'!$AB10="MAR"),'[1]LMP IN PPT'!O12,IF(AND('[1]LMP IN PPT'!$A12='[1]LMP IN MST'!$A10,'[1]LMP IN MST'!$Z10="DST",'[1]LMP IN MST'!$AA10="NORM",'[1]LMP IN MST'!$AB10="NOV"),'[1]LMP IN PPT'!P12,IF(AND('[1]LMP IN PPT'!$A12='[1]LMP IN MST'!$A10,'[1]LMP IN MST'!$Z10="DST",'[1]LMP IN MST'!$AA10="NORM",OR('[1]LMP IN MST'!$AB10="MAR",'[1]LMP IN MST'!$AB10="")),'[1]LMP IN PPT'!O12,0))))))</f>
        <v>-23.1492</v>
      </c>
      <c r="M10">
        <f>IF(AND('[1]LMP IN PPT'!$A12='[1]LMP IN MST'!$A10,'[1]LMP IN MST'!$Z10="ST",'[1]LMP IN MST'!$AA10="NORM",OR('[1]LMP IN MST'!$AB10="MAR",'[1]LMP IN MST'!$AB10="")),'[1]LMP IN PPT'!O12,IF(AND('[1]LMP IN PPT'!$A12='[1]LMP IN MST'!$A10,'[1]LMP IN MST'!$Z10="DST",'[1]LMP IN MST'!$AA10="FB",'[1]LMP IN MST'!$AB10="NOV"),'[1]LMP IN PPT'!P12,IF(AND('[1]LMP IN PPT'!$A12='[1]LMP IN MST'!$A10,'[1]LMP IN MST'!$Z10="ST",'[1]LMP IN MST'!$AA10="NORM",'[1]LMP IN MST'!$AB10="NOV"),'[1]LMP IN PPT'!P12,IF(AND('[1]LMP IN PPT'!$A12='[1]LMP IN MST'!$A10,'[1]LMP IN MST'!$Z10="DST",'[1]LMP IN MST'!$AA10="SF",'[1]LMP IN MST'!$AB10="MAR"),'[1]LMP IN PPT'!P12,IF(AND('[1]LMP IN PPT'!$A12='[1]LMP IN MST'!$A10,'[1]LMP IN MST'!$Z10="DST",'[1]LMP IN MST'!$AA10="NORM",'[1]LMP IN MST'!$AB10="NOV"),'[1]LMP IN PPT'!Q12,IF(AND('[1]LMP IN PPT'!$A12='[1]LMP IN MST'!$A10,'[1]LMP IN MST'!$Z10="DST",'[1]LMP IN MST'!$AA10="NORM",OR('[1]LMP IN MST'!$AB10="MAR",'[1]LMP IN MST'!$AB10="")),'[1]LMP IN PPT'!P12,0))))))</f>
        <v>-27.649609999999999</v>
      </c>
      <c r="N10">
        <f>IF(AND('[1]LMP IN PPT'!$A12='[1]LMP IN MST'!$A10,'[1]LMP IN MST'!$Z10="ST",'[1]LMP IN MST'!$AA10="NORM",OR('[1]LMP IN MST'!$AB10="MAR",'[1]LMP IN MST'!$AB10="")),'[1]LMP IN PPT'!P12,IF(AND('[1]LMP IN PPT'!$A12='[1]LMP IN MST'!$A10,'[1]LMP IN MST'!$Z10="DST",'[1]LMP IN MST'!$AA10="FB",'[1]LMP IN MST'!$AB10="NOV"),'[1]LMP IN PPT'!Q12,IF(AND('[1]LMP IN PPT'!$A12='[1]LMP IN MST'!$A10,'[1]LMP IN MST'!$Z10="ST",'[1]LMP IN MST'!$AA10="NORM",'[1]LMP IN MST'!$AB10="NOV"),'[1]LMP IN PPT'!Q12,IF(AND('[1]LMP IN PPT'!$A12='[1]LMP IN MST'!$A10,'[1]LMP IN MST'!$Z10="DST",'[1]LMP IN MST'!$AA10="SF",'[1]LMP IN MST'!$AB10="MAR"),'[1]LMP IN PPT'!Q12,IF(AND('[1]LMP IN PPT'!$A12='[1]LMP IN MST'!$A10,'[1]LMP IN MST'!$Z10="DST",'[1]LMP IN MST'!$AA10="NORM",'[1]LMP IN MST'!$AB10="NOV"),'[1]LMP IN PPT'!R12,IF(AND('[1]LMP IN PPT'!$A12='[1]LMP IN MST'!$A10,'[1]LMP IN MST'!$Z10="DST",'[1]LMP IN MST'!$AA10="NORM",OR('[1]LMP IN MST'!$AB10="MAR",'[1]LMP IN MST'!$AB10="")),'[1]LMP IN PPT'!Q12,0))))))</f>
        <v>-27.57816</v>
      </c>
      <c r="O10">
        <f>IF(AND('[1]LMP IN PPT'!$A12='[1]LMP IN MST'!$A10,'[1]LMP IN MST'!$Z10="ST",'[1]LMP IN MST'!$AA10="NORM",OR('[1]LMP IN MST'!$AB10="MAR",'[1]LMP IN MST'!$AB10="")),'[1]LMP IN PPT'!Q12,IF(AND('[1]LMP IN PPT'!$A12='[1]LMP IN MST'!$A10,'[1]LMP IN MST'!$Z10="DST",'[1]LMP IN MST'!$AA10="FB",'[1]LMP IN MST'!$AB10="NOV"),'[1]LMP IN PPT'!R12,IF(AND('[1]LMP IN PPT'!$A12='[1]LMP IN MST'!$A10,'[1]LMP IN MST'!$Z10="ST",'[1]LMP IN MST'!$AA10="NORM",'[1]LMP IN MST'!$AB10="NOV"),'[1]LMP IN PPT'!R12,IF(AND('[1]LMP IN PPT'!$A12='[1]LMP IN MST'!$A10,'[1]LMP IN MST'!$Z10="DST",'[1]LMP IN MST'!$AA10="SF",'[1]LMP IN MST'!$AB10="MAR"),'[1]LMP IN PPT'!R12,IF(AND('[1]LMP IN PPT'!$A12='[1]LMP IN MST'!$A10,'[1]LMP IN MST'!$Z10="DST",'[1]LMP IN MST'!$AA10="NORM",'[1]LMP IN MST'!$AB10="NOV"),'[1]LMP IN PPT'!S12,IF(AND('[1]LMP IN PPT'!$A12='[1]LMP IN MST'!$A10,'[1]LMP IN MST'!$Z10="DST",'[1]LMP IN MST'!$AA10="NORM",OR('[1]LMP IN MST'!$AB10="MAR",'[1]LMP IN MST'!$AB10="")),'[1]LMP IN PPT'!R12,0))))))</f>
        <v>-28.311499999999999</v>
      </c>
      <c r="P10">
        <f>IF(AND('[1]LMP IN PPT'!$A12='[1]LMP IN MST'!$A10,'[1]LMP IN MST'!$Z10="ST",'[1]LMP IN MST'!$AA10="NORM",OR('[1]LMP IN MST'!$AB10="MAR",'[1]LMP IN MST'!$AB10="")),'[1]LMP IN PPT'!R12,IF(AND('[1]LMP IN PPT'!$A12='[1]LMP IN MST'!$A10,'[1]LMP IN MST'!$Z10="DST",'[1]LMP IN MST'!$AA10="FB",'[1]LMP IN MST'!$AB10="NOV"),'[1]LMP IN PPT'!S12,IF(AND('[1]LMP IN PPT'!$A12='[1]LMP IN MST'!$A10,'[1]LMP IN MST'!$Z10="ST",'[1]LMP IN MST'!$AA10="NORM",'[1]LMP IN MST'!$AB10="NOV"),'[1]LMP IN PPT'!S12,IF(AND('[1]LMP IN PPT'!$A12='[1]LMP IN MST'!$A10,'[1]LMP IN MST'!$Z10="DST",'[1]LMP IN MST'!$AA10="SF",'[1]LMP IN MST'!$AB10="MAR"),'[1]LMP IN PPT'!S12,IF(AND('[1]LMP IN PPT'!$A12='[1]LMP IN MST'!$A10,'[1]LMP IN MST'!$Z10="DST",'[1]LMP IN MST'!$AA10="NORM",'[1]LMP IN MST'!$AB10="NOV"),'[1]LMP IN PPT'!T12,IF(AND('[1]LMP IN PPT'!$A12='[1]LMP IN MST'!$A10,'[1]LMP IN MST'!$Z10="DST",'[1]LMP IN MST'!$AA10="NORM",OR('[1]LMP IN MST'!$AB10="MAR",'[1]LMP IN MST'!$AB10="")),'[1]LMP IN PPT'!S12,0))))))</f>
        <v>-28.148910000000001</v>
      </c>
      <c r="Q10">
        <f>IF(AND('[1]LMP IN PPT'!$A12='[1]LMP IN MST'!$A10,'[1]LMP IN MST'!$Z10="ST",'[1]LMP IN MST'!$AA10="NORM",OR('[1]LMP IN MST'!$AB10="MAR",'[1]LMP IN MST'!$AB10="")),'[1]LMP IN PPT'!S12,IF(AND('[1]LMP IN PPT'!$A12='[1]LMP IN MST'!$A10,'[1]LMP IN MST'!$Z10="DST",'[1]LMP IN MST'!$AA10="FB",'[1]LMP IN MST'!$AB10="NOV"),'[1]LMP IN PPT'!T12,IF(AND('[1]LMP IN PPT'!$A12='[1]LMP IN MST'!$A10,'[1]LMP IN MST'!$Z10="ST",'[1]LMP IN MST'!$AA10="NORM",'[1]LMP IN MST'!$AB10="NOV"),'[1]LMP IN PPT'!T12,IF(AND('[1]LMP IN PPT'!$A12='[1]LMP IN MST'!$A10,'[1]LMP IN MST'!$Z10="DST",'[1]LMP IN MST'!$AA10="SF",'[1]LMP IN MST'!$AB10="MAR"),'[1]LMP IN PPT'!T12,IF(AND('[1]LMP IN PPT'!$A12='[1]LMP IN MST'!$A10,'[1]LMP IN MST'!$Z10="DST",'[1]LMP IN MST'!$AA10="NORM",'[1]LMP IN MST'!$AB10="NOV"),'[1]LMP IN PPT'!U12,IF(AND('[1]LMP IN PPT'!$A12='[1]LMP IN MST'!$A10,'[1]LMP IN MST'!$Z10="DST",'[1]LMP IN MST'!$AA10="NORM",OR('[1]LMP IN MST'!$AB10="MAR",'[1]LMP IN MST'!$AB10="")),'[1]LMP IN PPT'!T12,0))))))</f>
        <v>-28.353000000000002</v>
      </c>
      <c r="R10">
        <f>IF(AND('[1]LMP IN PPT'!$A12='[1]LMP IN MST'!$A10,'[1]LMP IN MST'!$Z10="ST",'[1]LMP IN MST'!$AA10="NORM",OR('[1]LMP IN MST'!$AB10="MAR",'[1]LMP IN MST'!$AB10="")),'[1]LMP IN PPT'!T12,IF(AND('[1]LMP IN PPT'!$A12='[1]LMP IN MST'!$A10,'[1]LMP IN MST'!$Z10="DST",'[1]LMP IN MST'!$AA10="FB",'[1]LMP IN MST'!$AB10="NOV"),'[1]LMP IN PPT'!U12,IF(AND('[1]LMP IN PPT'!$A12='[1]LMP IN MST'!$A10,'[1]LMP IN MST'!$Z10="ST",'[1]LMP IN MST'!$AA10="NORM",'[1]LMP IN MST'!$AB10="NOV"),'[1]LMP IN PPT'!U12,IF(AND('[1]LMP IN PPT'!$A12='[1]LMP IN MST'!$A10,'[1]LMP IN MST'!$Z10="DST",'[1]LMP IN MST'!$AA10="SF",'[1]LMP IN MST'!$AB10="MAR"),'[1]LMP IN PPT'!U12,IF(AND('[1]LMP IN PPT'!$A12='[1]LMP IN MST'!$A10,'[1]LMP IN MST'!$Z10="DST",'[1]LMP IN MST'!$AA10="NORM",'[1]LMP IN MST'!$AB10="NOV"),'[1]LMP IN PPT'!V12,IF(AND('[1]LMP IN PPT'!$A12='[1]LMP IN MST'!$A10,'[1]LMP IN MST'!$Z10="DST",'[1]LMP IN MST'!$AA10="NORM",OR('[1]LMP IN MST'!$AB10="MAR",'[1]LMP IN MST'!$AB10="")),'[1]LMP IN PPT'!U12,0))))))</f>
        <v>-19.5428</v>
      </c>
      <c r="S10">
        <f>IF(AND('[1]LMP IN PPT'!$A12='[1]LMP IN MST'!$A10,'[1]LMP IN MST'!$Z10="ST",'[1]LMP IN MST'!$AA10="NORM",OR('[1]LMP IN MST'!$AB10="MAR",'[1]LMP IN MST'!$AB10="")),'[1]LMP IN PPT'!U12,IF(AND('[1]LMP IN PPT'!$A12='[1]LMP IN MST'!$A10,'[1]LMP IN MST'!$Z10="DST",'[1]LMP IN MST'!$AA10="FB",'[1]LMP IN MST'!$AB10="NOV"),'[1]LMP IN PPT'!V12,IF(AND('[1]LMP IN PPT'!$A12='[1]LMP IN MST'!$A10,'[1]LMP IN MST'!$Z10="ST",'[1]LMP IN MST'!$AA10="NORM",'[1]LMP IN MST'!$AB10="NOV"),'[1]LMP IN PPT'!V12,IF(AND('[1]LMP IN PPT'!$A12='[1]LMP IN MST'!$A10,'[1]LMP IN MST'!$Z10="DST",'[1]LMP IN MST'!$AA10="SF",'[1]LMP IN MST'!$AB10="MAR"),'[1]LMP IN PPT'!V12,IF(AND('[1]LMP IN PPT'!$A12='[1]LMP IN MST'!$A10,'[1]LMP IN MST'!$Z10="DST",'[1]LMP IN MST'!$AA10="NORM",'[1]LMP IN MST'!$AB10="NOV"),'[1]LMP IN PPT'!W12,IF(AND('[1]LMP IN PPT'!$A12='[1]LMP IN MST'!$A10,'[1]LMP IN MST'!$Z10="DST",'[1]LMP IN MST'!$AA10="NORM",OR('[1]LMP IN MST'!$AB10="MAR",'[1]LMP IN MST'!$AB10="")),'[1]LMP IN PPT'!V12,0))))))</f>
        <v>16.0641</v>
      </c>
      <c r="T10">
        <f>IF(AND('[1]LMP IN PPT'!$A12='[1]LMP IN MST'!$A10,'[1]LMP IN MST'!$Z10="ST",'[1]LMP IN MST'!$AA10="NORM",OR('[1]LMP IN MST'!$AB10="MAR",'[1]LMP IN MST'!$AB10="")),'[1]LMP IN PPT'!V12,IF(AND('[1]LMP IN PPT'!$A12='[1]LMP IN MST'!$A10,'[1]LMP IN MST'!$Z10="DST",'[1]LMP IN MST'!$AA10="FB",'[1]LMP IN MST'!$AB10="NOV"),'[1]LMP IN PPT'!W12,IF(AND('[1]LMP IN PPT'!$A12='[1]LMP IN MST'!$A10,'[1]LMP IN MST'!$Z10="ST",'[1]LMP IN MST'!$AA10="NORM",'[1]LMP IN MST'!$AB10="NOV"),'[1]LMP IN PPT'!W12,IF(AND('[1]LMP IN PPT'!$A12='[1]LMP IN MST'!$A10,'[1]LMP IN MST'!$Z10="DST",'[1]LMP IN MST'!$AA10="SF",'[1]LMP IN MST'!$AB10="MAR"),'[1]LMP IN PPT'!W12,IF(AND('[1]LMP IN PPT'!$A12='[1]LMP IN MST'!$A10,'[1]LMP IN MST'!$Z10="DST",'[1]LMP IN MST'!$AA10="NORM",'[1]LMP IN MST'!$AB10="NOV"),'[1]LMP IN PPT'!X12,IF(AND('[1]LMP IN PPT'!$A12='[1]LMP IN MST'!$A10,'[1]LMP IN MST'!$Z10="DST",'[1]LMP IN MST'!$AA10="NORM",OR('[1]LMP IN MST'!$AB10="MAR",'[1]LMP IN MST'!$AB10="")),'[1]LMP IN PPT'!W12,0))))))</f>
        <v>46.289200000000001</v>
      </c>
      <c r="U10">
        <f>IF(AND('[1]LMP IN PPT'!$A12='[1]LMP IN MST'!$A10,'[1]LMP IN MST'!$Z10="ST",'[1]LMP IN MST'!$AA10="NORM",OR('[1]LMP IN MST'!$AB10="MAR",'[1]LMP IN MST'!$AB10="")),'[1]LMP IN PPT'!W12,IF(AND('[1]LMP IN PPT'!$A12='[1]LMP IN MST'!$A10,'[1]LMP IN MST'!$Z10="DST",'[1]LMP IN MST'!$AA10="FB",'[1]LMP IN MST'!$AB10="NOV"),'[1]LMP IN PPT'!X12,IF(AND('[1]LMP IN PPT'!$A12='[1]LMP IN MST'!$A10,'[1]LMP IN MST'!$Z10="ST",'[1]LMP IN MST'!$AA10="NORM",'[1]LMP IN MST'!$AB10="NOV"),'[1]LMP IN PPT'!X12,IF(AND('[1]LMP IN PPT'!$A12='[1]LMP IN MST'!$A10,'[1]LMP IN MST'!$Z10="DST",'[1]LMP IN MST'!$AA10="SF",'[1]LMP IN MST'!$AB10="MAR"),'[1]LMP IN PPT'!X12,IF(AND('[1]LMP IN PPT'!$A12='[1]LMP IN MST'!$A10,'[1]LMP IN MST'!$Z10="DST",'[1]LMP IN MST'!$AA10="NORM",'[1]LMP IN MST'!$AB10="NOV"),'[1]LMP IN PPT'!Y12,IF(AND('[1]LMP IN PPT'!$A12='[1]LMP IN MST'!$A10,'[1]LMP IN MST'!$Z10="DST",'[1]LMP IN MST'!$AA10="NORM",OR('[1]LMP IN MST'!$AB10="MAR",'[1]LMP IN MST'!$AB10="")),'[1]LMP IN PPT'!X12,0))))))</f>
        <v>46.985109999999999</v>
      </c>
      <c r="V10">
        <f>IF(AND('[1]LMP IN PPT'!$A12='[1]LMP IN MST'!$A10,'[1]LMP IN MST'!$Z10="ST",'[1]LMP IN MST'!$AA10="NORM",OR('[1]LMP IN MST'!$AB10="MAR",'[1]LMP IN MST'!$AB10="")),'[1]LMP IN PPT'!X12,IF(AND('[1]LMP IN PPT'!$A12='[1]LMP IN MST'!$A10,'[1]LMP IN MST'!$Z10="DST",'[1]LMP IN MST'!$AA10="FB",'[1]LMP IN MST'!$AB10="NOV"),'[1]LMP IN PPT'!Y12,IF(AND('[1]LMP IN PPT'!$A12='[1]LMP IN MST'!$A10,'[1]LMP IN MST'!$Z10="ST",'[1]LMP IN MST'!$AA10="NORM",'[1]LMP IN MST'!$AB10="NOV"),'[1]LMP IN PPT'!Y12,IF(AND('[1]LMP IN PPT'!$A12='[1]LMP IN MST'!$A10,'[1]LMP IN MST'!$Z10="DST",'[1]LMP IN MST'!$AA10="SF",'[1]LMP IN MST'!$AB10="MAR"),'[1]LMP IN PPT'!Y12,IF(AND('[1]LMP IN PPT'!$A12='[1]LMP IN MST'!$A10,'[1]LMP IN MST'!$Z10="DST",'[1]LMP IN MST'!$AA10="NORM",'[1]LMP IN MST'!$AB10="NOV"),'[1]LMP IN PPT'!Z12,IF(AND('[1]LMP IN PPT'!$A12='[1]LMP IN MST'!$A10,'[1]LMP IN MST'!$Z10="DST",'[1]LMP IN MST'!$AA10="NORM",OR('[1]LMP IN MST'!$AB10="MAR",'[1]LMP IN MST'!$AB10="")),'[1]LMP IN PPT'!Y12,0))))))</f>
        <v>46.931939999999997</v>
      </c>
      <c r="W10">
        <f>IF(AND('[1]LMP IN PPT'!$A12='[1]LMP IN MST'!$A10,'[1]LMP IN MST'!$Z10="ST",'[1]LMP IN MST'!$AA10="NORM",OR('[1]LMP IN MST'!$AB10="MAR",'[1]LMP IN MST'!$AB10="")),'[1]LMP IN PPT'!Y12,IF(AND('[1]LMP IN PPT'!$A12='[1]LMP IN MST'!$A10,'[1]LMP IN MST'!$Z10="DST",'[1]LMP IN MST'!$AA10="FB",'[1]LMP IN MST'!$AB10="NOV"),'[1]LMP IN PPT'!Z12,IF(AND('[1]LMP IN PPT'!$A12='[1]LMP IN MST'!$A10,'[1]LMP IN MST'!$Z10="ST",'[1]LMP IN MST'!$AA10="NORM",'[1]LMP IN MST'!$AB10="NOV"),'[1]LMP IN PPT'!Z12,IF(AND('[1]LMP IN PPT'!$A12='[1]LMP IN MST'!$A10,'[1]LMP IN MST'!$Z10="DST",'[1]LMP IN MST'!$AA10="SF",'[1]LMP IN MST'!$AB10="MAR"),'[1]LMP IN PPT'!Z12,IF(AND('[1]LMP IN PPT'!$A12='[1]LMP IN MST'!$A10,'[1]LMP IN MST'!$Z10="DST",'[1]LMP IN MST'!$AA10="NORM",'[1]LMP IN MST'!$AB10="NOV"),'[1]LMP IN PPT'!AA12,IF(AND('[1]LMP IN PPT'!$A12='[1]LMP IN MST'!$A10,'[1]LMP IN MST'!$Z10="DST",'[1]LMP IN MST'!$AA10="NORM",OR('[1]LMP IN MST'!$AB10="MAR",'[1]LMP IN MST'!$AB10="")),'[1]LMP IN PPT'!Z12,0))))))</f>
        <v>46.146999999999998</v>
      </c>
      <c r="X10">
        <f>IF(AND('[1]LMP IN PPT'!$A12='[1]LMP IN MST'!$A10,'[1]LMP IN MST'!$Z10="ST",'[1]LMP IN MST'!$AA10="NORM",OR('[1]LMP IN MST'!$AB10="MAR",'[1]LMP IN MST'!$AB10="")),'[1]LMP IN PPT'!Z12,IF(AND('[1]LMP IN PPT'!$A12='[1]LMP IN MST'!$A10,'[1]LMP IN MST'!$Z10="DST",'[1]LMP IN MST'!$AA10="FB",'[1]LMP IN MST'!$AB10="NOV"),'[1]LMP IN PPT'!AA12,IF(AND('[1]LMP IN PPT'!$A12='[1]LMP IN MST'!$A10,'[1]LMP IN MST'!$Z10="ST",'[1]LMP IN MST'!$AA10="NORM",'[1]LMP IN MST'!$AB10="NOV"),'[1]LMP IN PPT'!AA12,IF(AND('[1]LMP IN PPT'!$A12='[1]LMP IN MST'!$A10,'[1]LMP IN MST'!$Z10="DST",'[1]LMP IN MST'!$AA10="SF",'[1]LMP IN MST'!$AB10="MAR"),'[1]LMP IN PPT'!AA12,IF(AND('[1]LMP IN PPT'!$A12='[1]LMP IN MST'!$A10,'[1]LMP IN MST'!$Z10="DST",'[1]LMP IN MST'!$AA10="NORM",'[1]LMP IN MST'!$AB10="NOV"),'[1]LMP IN PPT'!AB12,IF(AND('[1]LMP IN PPT'!$A12='[1]LMP IN MST'!$A10,'[1]LMP IN MST'!$Z10="DST",'[1]LMP IN MST'!$AA10="NORM",OR('[1]LMP IN MST'!$AB10="MAR",'[1]LMP IN MST'!$AB10="")),'[1]LMP IN PPT'!AA12,0))))))</f>
        <v>45.742669999999997</v>
      </c>
      <c r="Y10">
        <f>IF(AND('[1]LMP IN PPT'!$A12='[1]LMP IN MST'!$A10,'[1]LMP IN MST'!$Z10="ST",'[1]LMP IN MST'!$AA10="NORM",OR('[1]LMP IN MST'!$AB10="MAR",'[1]LMP IN MST'!$AB10="")),'[1]LMP IN PPT'!AA12,IF(AND('[1]LMP IN PPT'!$A12='[1]LMP IN MST'!$A10,'[1]LMP IN MST'!$Z10="DST",'[1]LMP IN MST'!$AA10="FB",'[1]LMP IN MST'!$AB10="NOV"),'[1]LMP IN PPT'!AB12,IF(AND('[1]LMP IN PPT'!$A12='[1]LMP IN MST'!$A10,'[1]LMP IN MST'!$Z10="ST",'[1]LMP IN MST'!$AA10="NORM",'[1]LMP IN MST'!$AB10="NOV"),'[1]LMP IN PPT'!AB12,IF(AND('[1]LMP IN PPT'!$A12='[1]LMP IN MST'!$A10,'[1]LMP IN MST'!$Z10="DST",'[1]LMP IN MST'!$AA10="SF",'[1]LMP IN MST'!$AB10="MAR"),'[1]LMP IN PPT'!AB12,IF(AND('[1]LMP IN PPT'!$A12='[1]LMP IN MST'!$A10,'[1]LMP IN MST'!$Z10="DST",'[1]LMP IN MST'!$AA10="NORM",'[1]LMP IN MST'!$AB10="NOV"),'[1]LMP IN PPT'!AC12,IF(AND('[1]LMP IN PPT'!$A12='[1]LMP IN MST'!$A10,'[1]LMP IN MST'!$Z10="DST",'[1]LMP IN MST'!$AA10="NORM",OR('[1]LMP IN MST'!$AB10="MAR",'[1]LMP IN MST'!$AB10="")),'[1]LMP IN PPT'!AB12,0))))))</f>
        <v>42.057099999999998</v>
      </c>
    </row>
    <row r="11" spans="1:25" x14ac:dyDescent="0.3">
      <c r="A11" s="1">
        <f t="shared" si="0"/>
        <v>45361</v>
      </c>
      <c r="B11">
        <f>IF(AND('[1]LMP IN PPT'!$A13='[1]LMP IN MST'!$A11,'[1]LMP IN MST'!$Z11="ST",'[1]LMP IN MST'!$AA11="NORM",'[1]LMP IN MST'!$AB11="NOV"),'[1]LMP IN PPT'!AC12,IF(AND('[1]LMP IN PPT'!$A13='[1]LMP IN MST'!$A11,'[1]LMP IN MST'!$Z11="ST",'[1]LMP IN MST'!$AA11="NORM",'[1]LMP IN MST'!$AB11="MAR"),'[1]LMP IN PPT'!AB12,IF(AND('[1]LMP IN PPT'!$A13='[1]LMP IN MST'!$A11,'[1]LMP IN MST'!$Z11="ST",'[1]LMP IN MST'!$AA11="NORM",'[1]LMP IN MST'!$AB11=""),'[1]LMP IN PPT'!AB12,IF(AND('[1]LMP IN PPT'!$A13='[1]LMP IN MST'!$A11,'[1]LMP IN MST'!$Z11="DST",'[1]LMP IN MST'!$AA11="FB",'[1]LMP IN MST'!$AB11="NOV"),'[1]LMP IN PPT'!E13,IF(AND('[1]LMP IN PPT'!$A13='[1]LMP IN MST'!$A11,'[1]LMP IN MST'!$Z11="DST",'[1]LMP IN MST'!$AA11="SF",'[1]LMP IN MST'!$AB11="MAR"),'[1]LMP IN PPT'!AB12,IF(AND('[1]LMP IN PPT'!$A13='[1]LMP IN MST'!$A11,'[1]LMP IN MST'!$Z11="DST",'[1]LMP IN MST'!$AA11="NORM",OR('[1]LMP IN MST'!$AB11="MAR",'[1]LMP IN MST'!$AB11="",'[1]LMP IN MST'!$AB11="NOV")),'[1]LMP IN PPT'!E13,0))))))</f>
        <v>39.594819999999999</v>
      </c>
      <c r="C11">
        <f>IF(AND('[1]LMP IN PPT'!$A13='[1]LMP IN MST'!$A11,'[1]LMP IN MST'!$Z11="ST",'[1]LMP IN MST'!$AA11="NORM",OR('[1]LMP IN MST'!$AB11="NOV",'[1]LMP IN MST'!$AB11="MAR",'[1]LMP IN MST'!$AB11="")),'[1]LMP IN PPT'!E13,IF(AND('[1]LMP IN PPT'!$A13='[1]LMP IN MST'!$A11,'[1]LMP IN MST'!$Z11="DST",'[1]LMP IN MST'!$AA11="FB",'[1]LMP IN MST'!$AB11="NOV"),'[1]LMP IN PPT'!F13,IF(AND('[1]LMP IN PPT'!$A13='[1]LMP IN MST'!$A11,'[1]LMP IN MST'!$Z11="DST",'[1]LMP IN MST'!$AA11="SF",'[1]LMP IN MST'!$AB11="MAR"),'[1]LMP IN PPT'!E13,IF(AND('[1]LMP IN PPT'!$A13='[1]LMP IN MST'!$A11,'[1]LMP IN MST'!$Z11="DST",'[1]LMP IN MST'!$AA11="NORM",OR('[1]LMP IN MST'!$AB11="MAR",'[1]LMP IN MST'!$AB11="",'[1]LMP IN MST'!$AB11="NOV")),'[1]LMP IN PPT'!F13,0))))</f>
        <v>46.208440000000003</v>
      </c>
      <c r="D11">
        <f>IF(AND('[1]LMP IN PPT'!$A13='[1]LMP IN MST'!$A11,'[1]LMP IN MST'!$Z11="ST",'[1]LMP IN MST'!$AA11="NORM",OR('[1]LMP IN MST'!$AB11="NOV",'[1]LMP IN MST'!$AB11="MAR",'[1]LMP IN MST'!$AB11="")),'[1]LMP IN PPT'!F13,IF(AND('[1]LMP IN PPT'!$A13='[1]LMP IN MST'!$A11,'[1]LMP IN MST'!$Z11="DST",'[1]LMP IN MST'!$AA11="FB",'[1]LMP IN MST'!$AB11="NOV"),'[1]LMP IN PPT'!G13,IF(AND('[1]LMP IN PPT'!$A13='[1]LMP IN MST'!$A11,'[1]LMP IN MST'!$Z11="DST",'[1]LMP IN MST'!$AA11="SF",'[1]LMP IN MST'!$AB11="MAR"),'[1]LMP IN PPT'!F13,IF(AND('[1]LMP IN PPT'!$A13='[1]LMP IN MST'!$A11,'[1]LMP IN MST'!$Z11="DST",'[1]LMP IN MST'!$AA11="NORM",'[1]LMP IN MST'!$AB11="NOV"),'[1]LMP IN PPT'!H13,IF(AND('[1]LMP IN PPT'!$A13='[1]LMP IN MST'!$A11,'[1]LMP IN MST'!$Z11="DST",'[1]LMP IN MST'!$AA11="NORM",OR('[1]LMP IN MST'!$AB11="MAR",'[1]LMP IN MST'!$AB11="")),'[1]LMP IN PPT'!G13,0)))))</f>
        <v>45.75582</v>
      </c>
      <c r="E11">
        <f>IF(AND('[1]LMP IN PPT'!$A13='[1]LMP IN MST'!$A11,'[1]LMP IN MST'!$Z11="ST",'[1]LMP IN MST'!$AA11="NORM",OR('[1]LMP IN MST'!$AB11="MAR",'[1]LMP IN MST'!$AB11="")),'[1]LMP IN PPT'!G13,IF(AND('[1]LMP IN PPT'!$A13='[1]LMP IN MST'!$A11,'[1]LMP IN MST'!$Z11="DST",'[1]LMP IN MST'!$AA11="FB",'[1]LMP IN MST'!$AB11="NOV"),'[1]LMP IN PPT'!H13,IF(AND('[1]LMP IN PPT'!$A13='[1]LMP IN MST'!$A11,'[1]LMP IN MST'!$Z11="ST",'[1]LMP IN MST'!$AA11="NORM",'[1]LMP IN MST'!$AB11="NOV"),'[1]LMP IN PPT'!H13,IF(AND('[1]LMP IN PPT'!$A13='[1]LMP IN MST'!$A11,'[1]LMP IN MST'!$Z11="DST",'[1]LMP IN MST'!$AA11="SF",'[1]LMP IN MST'!$AB11="MAR"),'[1]LMP IN PPT'!H13,IF(AND('[1]LMP IN PPT'!$A13='[1]LMP IN MST'!$A11,'[1]LMP IN MST'!$Z11="DST",'[1]LMP IN MST'!$AA11="NORM",'[1]LMP IN MST'!$AB11="NOV"),'[1]LMP IN PPT'!I13,IF(AND('[1]LMP IN PPT'!$A13='[1]LMP IN MST'!$A11,'[1]LMP IN MST'!$Z11="DST",'[1]LMP IN MST'!$AA11="NORM",OR('[1]LMP IN MST'!$AB11="MAR",'[1]LMP IN MST'!$AB11="")),'[1]LMP IN PPT'!H13,0))))))</f>
        <v>41.749639999999999</v>
      </c>
      <c r="F11">
        <f>IF(AND('[1]LMP IN PPT'!$A13='[1]LMP IN MST'!$A11,'[1]LMP IN MST'!$Z11="ST",'[1]LMP IN MST'!$AA11="NORM",OR('[1]LMP IN MST'!$AB11="MAR",'[1]LMP IN MST'!$AB11="")),'[1]LMP IN PPT'!H13,IF(AND('[1]LMP IN PPT'!$A13='[1]LMP IN MST'!$A11,'[1]LMP IN MST'!$Z11="DST",'[1]LMP IN MST'!$AA11="FB",'[1]LMP IN MST'!$AB11="NOV"),'[1]LMP IN PPT'!I13,IF(AND('[1]LMP IN PPT'!$A13='[1]LMP IN MST'!$A11,'[1]LMP IN MST'!$Z11="ST",'[1]LMP IN MST'!$AA11="NORM",'[1]LMP IN MST'!$AB11="NOV"),'[1]LMP IN PPT'!I13,IF(AND('[1]LMP IN PPT'!$A13='[1]LMP IN MST'!$A11,'[1]LMP IN MST'!$Z11="DST",'[1]LMP IN MST'!$AA11="SF",'[1]LMP IN MST'!$AB11="MAR"),'[1]LMP IN PPT'!I13,IF(AND('[1]LMP IN PPT'!$A13='[1]LMP IN MST'!$A11,'[1]LMP IN MST'!$Z11="DST",'[1]LMP IN MST'!$AA11="NORM",'[1]LMP IN MST'!$AB11="NOV"),'[1]LMP IN PPT'!J13,IF(AND('[1]LMP IN PPT'!$A13='[1]LMP IN MST'!$A11,'[1]LMP IN MST'!$Z11="DST",'[1]LMP IN MST'!$AA11="NORM",OR('[1]LMP IN MST'!$AB11="MAR",'[1]LMP IN MST'!$AB11="")),'[1]LMP IN PPT'!I13,0))))))</f>
        <v>41.347949999999997</v>
      </c>
      <c r="G11">
        <f>IF(AND('[1]LMP IN PPT'!$A13='[1]LMP IN MST'!$A11,'[1]LMP IN MST'!$Z11="ST",'[1]LMP IN MST'!$AA11="NORM",OR('[1]LMP IN MST'!$AB11="MAR",'[1]LMP IN MST'!$AB11="")),'[1]LMP IN PPT'!I13,IF(AND('[1]LMP IN PPT'!$A13='[1]LMP IN MST'!$A11,'[1]LMP IN MST'!$Z11="DST",'[1]LMP IN MST'!$AA11="FB",'[1]LMP IN MST'!$AB11="NOV"),'[1]LMP IN PPT'!J13,IF(AND('[1]LMP IN PPT'!$A13='[1]LMP IN MST'!$A11,'[1]LMP IN MST'!$Z11="ST",'[1]LMP IN MST'!$AA11="NORM",'[1]LMP IN MST'!$AB11="NOV"),'[1]LMP IN PPT'!J13,IF(AND('[1]LMP IN PPT'!$A13='[1]LMP IN MST'!$A11,'[1]LMP IN MST'!$Z11="DST",'[1]LMP IN MST'!$AA11="SF",'[1]LMP IN MST'!$AB11="MAR"),'[1]LMP IN PPT'!J13,IF(AND('[1]LMP IN PPT'!$A13='[1]LMP IN MST'!$A11,'[1]LMP IN MST'!$Z11="DST",'[1]LMP IN MST'!$AA11="NORM",'[1]LMP IN MST'!$AB11="NOV"),'[1]LMP IN PPT'!K13,IF(AND('[1]LMP IN PPT'!$A13='[1]LMP IN MST'!$A11,'[1]LMP IN MST'!$Z11="DST",'[1]LMP IN MST'!$AA11="NORM",OR('[1]LMP IN MST'!$AB11="MAR",'[1]LMP IN MST'!$AB11="")),'[1]LMP IN PPT'!J13,0))))))</f>
        <v>39.299799999999998</v>
      </c>
      <c r="H11">
        <f>IF(AND('[1]LMP IN PPT'!$A13='[1]LMP IN MST'!$A11,'[1]LMP IN MST'!$Z11="ST",'[1]LMP IN MST'!$AA11="NORM",OR('[1]LMP IN MST'!$AB11="MAR",'[1]LMP IN MST'!$AB11="")),'[1]LMP IN PPT'!J13,IF(AND('[1]LMP IN PPT'!$A13='[1]LMP IN MST'!$A11,'[1]LMP IN MST'!$Z11="DST",'[1]LMP IN MST'!$AA11="FB",'[1]LMP IN MST'!$AB11="NOV"),'[1]LMP IN PPT'!K13,IF(AND('[1]LMP IN PPT'!$A13='[1]LMP IN MST'!$A11,'[1]LMP IN MST'!$Z11="ST",'[1]LMP IN MST'!$AA11="NORM",'[1]LMP IN MST'!$AB11="NOV"),'[1]LMP IN PPT'!K13,IF(AND('[1]LMP IN PPT'!$A13='[1]LMP IN MST'!$A11,'[1]LMP IN MST'!$Z11="DST",'[1]LMP IN MST'!$AA11="SF",'[1]LMP IN MST'!$AB11="MAR"),'[1]LMP IN PPT'!K13,IF(AND('[1]LMP IN PPT'!$A13='[1]LMP IN MST'!$A11,'[1]LMP IN MST'!$Z11="DST",'[1]LMP IN MST'!$AA11="NORM",'[1]LMP IN MST'!$AB11="NOV"),'[1]LMP IN PPT'!L13,IF(AND('[1]LMP IN PPT'!$A13='[1]LMP IN MST'!$A11,'[1]LMP IN MST'!$Z11="DST",'[1]LMP IN MST'!$AA11="NORM",OR('[1]LMP IN MST'!$AB11="MAR",'[1]LMP IN MST'!$AB11="")),'[1]LMP IN PPT'!K13,0))))))</f>
        <v>43.935200000000002</v>
      </c>
      <c r="I11">
        <f>IF(AND('[1]LMP IN PPT'!$A13='[1]LMP IN MST'!$A11,'[1]LMP IN MST'!$Z11="ST",'[1]LMP IN MST'!$AA11="NORM",OR('[1]LMP IN MST'!$AB11="MAR",'[1]LMP IN MST'!$AB11="")),'[1]LMP IN PPT'!K13,IF(AND('[1]LMP IN PPT'!$A13='[1]LMP IN MST'!$A11,'[1]LMP IN MST'!$Z11="DST",'[1]LMP IN MST'!$AA11="FB",'[1]LMP IN MST'!$AB11="NOV"),'[1]LMP IN PPT'!L13,IF(AND('[1]LMP IN PPT'!$A13='[1]LMP IN MST'!$A11,'[1]LMP IN MST'!$Z11="ST",'[1]LMP IN MST'!$AA11="NORM",'[1]LMP IN MST'!$AB11="NOV"),'[1]LMP IN PPT'!L13,IF(AND('[1]LMP IN PPT'!$A13='[1]LMP IN MST'!$A11,'[1]LMP IN MST'!$Z11="DST",'[1]LMP IN MST'!$AA11="SF",'[1]LMP IN MST'!$AB11="MAR"),'[1]LMP IN PPT'!L13,IF(AND('[1]LMP IN PPT'!$A13='[1]LMP IN MST'!$A11,'[1]LMP IN MST'!$Z11="DST",'[1]LMP IN MST'!$AA11="NORM",'[1]LMP IN MST'!$AB11="NOV"),'[1]LMP IN PPT'!M13,IF(AND('[1]LMP IN PPT'!$A13='[1]LMP IN MST'!$A11,'[1]LMP IN MST'!$Z11="DST",'[1]LMP IN MST'!$AA11="NORM",OR('[1]LMP IN MST'!$AB11="MAR",'[1]LMP IN MST'!$AB11="")),'[1]LMP IN PPT'!L13,0))))))</f>
        <v>42.239460000000001</v>
      </c>
      <c r="J11">
        <f>IF(AND('[1]LMP IN PPT'!$A13='[1]LMP IN MST'!$A11,'[1]LMP IN MST'!$Z11="ST",'[1]LMP IN MST'!$AA11="NORM",OR('[1]LMP IN MST'!$AB11="MAR",'[1]LMP IN MST'!$AB11="")),'[1]LMP IN PPT'!L13,IF(AND('[1]LMP IN PPT'!$A13='[1]LMP IN MST'!$A11,'[1]LMP IN MST'!$Z11="DST",'[1]LMP IN MST'!$AA11="FB",'[1]LMP IN MST'!$AB11="NOV"),'[1]LMP IN PPT'!M13,IF(AND('[1]LMP IN PPT'!$A13='[1]LMP IN MST'!$A11,'[1]LMP IN MST'!$Z11="ST",'[1]LMP IN MST'!$AA11="NORM",'[1]LMP IN MST'!$AB11="NOV"),'[1]LMP IN PPT'!M13,IF(AND('[1]LMP IN PPT'!$A13='[1]LMP IN MST'!$A11,'[1]LMP IN MST'!$Z11="DST",'[1]LMP IN MST'!$AA11="SF",'[1]LMP IN MST'!$AB11="MAR"),'[1]LMP IN PPT'!M13,IF(AND('[1]LMP IN PPT'!$A13='[1]LMP IN MST'!$A11,'[1]LMP IN MST'!$Z11="DST",'[1]LMP IN MST'!$AA11="NORM",'[1]LMP IN MST'!$AB11="NOV"),'[1]LMP IN PPT'!N13,IF(AND('[1]LMP IN PPT'!$A13='[1]LMP IN MST'!$A11,'[1]LMP IN MST'!$Z11="DST",'[1]LMP IN MST'!$AA11="NORM",OR('[1]LMP IN MST'!$AB11="MAR",'[1]LMP IN MST'!$AB11="")),'[1]LMP IN PPT'!M13,0))))))</f>
        <v>9.3496299999999994</v>
      </c>
      <c r="K11">
        <f>IF(AND('[1]LMP IN PPT'!$A13='[1]LMP IN MST'!$A11,'[1]LMP IN MST'!$Z11="ST",'[1]LMP IN MST'!$AA11="NORM",OR('[1]LMP IN MST'!$AB11="MAR",'[1]LMP IN MST'!$AB11="")),'[1]LMP IN PPT'!M13,IF(AND('[1]LMP IN PPT'!$A13='[1]LMP IN MST'!$A11,'[1]LMP IN MST'!$Z11="DST",'[1]LMP IN MST'!$AA11="FB",'[1]LMP IN MST'!$AB11="NOV"),'[1]LMP IN PPT'!N13,IF(AND('[1]LMP IN PPT'!$A13='[1]LMP IN MST'!$A11,'[1]LMP IN MST'!$Z11="ST",'[1]LMP IN MST'!$AA11="NORM",'[1]LMP IN MST'!$AB11="NOV"),'[1]LMP IN PPT'!N13,IF(AND('[1]LMP IN PPT'!$A13='[1]LMP IN MST'!$A11,'[1]LMP IN MST'!$Z11="DST",'[1]LMP IN MST'!$AA11="SF",'[1]LMP IN MST'!$AB11="MAR"),'[1]LMP IN PPT'!N13,IF(AND('[1]LMP IN PPT'!$A13='[1]LMP IN MST'!$A11,'[1]LMP IN MST'!$Z11="DST",'[1]LMP IN MST'!$AA11="NORM",'[1]LMP IN MST'!$AB11="NOV"),'[1]LMP IN PPT'!O13,IF(AND('[1]LMP IN PPT'!$A13='[1]LMP IN MST'!$A11,'[1]LMP IN MST'!$Z11="DST",'[1]LMP IN MST'!$AA11="NORM",OR('[1]LMP IN MST'!$AB11="MAR",'[1]LMP IN MST'!$AB11="")),'[1]LMP IN PPT'!N13,0))))))</f>
        <v>-11.1899</v>
      </c>
      <c r="L11">
        <f>IF(AND('[1]LMP IN PPT'!$A13='[1]LMP IN MST'!$A11,'[1]LMP IN MST'!$Z11="ST",'[1]LMP IN MST'!$AA11="NORM",OR('[1]LMP IN MST'!$AB11="MAR",'[1]LMP IN MST'!$AB11="")),'[1]LMP IN PPT'!N13,IF(AND('[1]LMP IN PPT'!$A13='[1]LMP IN MST'!$A11,'[1]LMP IN MST'!$Z11="DST",'[1]LMP IN MST'!$AA11="FB",'[1]LMP IN MST'!$AB11="NOV"),'[1]LMP IN PPT'!O13,IF(AND('[1]LMP IN PPT'!$A13='[1]LMP IN MST'!$A11,'[1]LMP IN MST'!$Z11="ST",'[1]LMP IN MST'!$AA11="NORM",'[1]LMP IN MST'!$AB11="NOV"),'[1]LMP IN PPT'!O13,IF(AND('[1]LMP IN PPT'!$A13='[1]LMP IN MST'!$A11,'[1]LMP IN MST'!$Z11="DST",'[1]LMP IN MST'!$AA11="SF",'[1]LMP IN MST'!$AB11="MAR"),'[1]LMP IN PPT'!O13,IF(AND('[1]LMP IN PPT'!$A13='[1]LMP IN MST'!$A11,'[1]LMP IN MST'!$Z11="DST",'[1]LMP IN MST'!$AA11="NORM",'[1]LMP IN MST'!$AB11="NOV"),'[1]LMP IN PPT'!P13,IF(AND('[1]LMP IN PPT'!$A13='[1]LMP IN MST'!$A11,'[1]LMP IN MST'!$Z11="DST",'[1]LMP IN MST'!$AA11="NORM",OR('[1]LMP IN MST'!$AB11="MAR",'[1]LMP IN MST'!$AB11="")),'[1]LMP IN PPT'!O13,0))))))</f>
        <v>-16.431280000000001</v>
      </c>
      <c r="M11">
        <f>IF(AND('[1]LMP IN PPT'!$A13='[1]LMP IN MST'!$A11,'[1]LMP IN MST'!$Z11="ST",'[1]LMP IN MST'!$AA11="NORM",OR('[1]LMP IN MST'!$AB11="MAR",'[1]LMP IN MST'!$AB11="")),'[1]LMP IN PPT'!O13,IF(AND('[1]LMP IN PPT'!$A13='[1]LMP IN MST'!$A11,'[1]LMP IN MST'!$Z11="DST",'[1]LMP IN MST'!$AA11="FB",'[1]LMP IN MST'!$AB11="NOV"),'[1]LMP IN PPT'!P13,IF(AND('[1]LMP IN PPT'!$A13='[1]LMP IN MST'!$A11,'[1]LMP IN MST'!$Z11="ST",'[1]LMP IN MST'!$AA11="NORM",'[1]LMP IN MST'!$AB11="NOV"),'[1]LMP IN PPT'!P13,IF(AND('[1]LMP IN PPT'!$A13='[1]LMP IN MST'!$A11,'[1]LMP IN MST'!$Z11="DST",'[1]LMP IN MST'!$AA11="SF",'[1]LMP IN MST'!$AB11="MAR"),'[1]LMP IN PPT'!P13,IF(AND('[1]LMP IN PPT'!$A13='[1]LMP IN MST'!$A11,'[1]LMP IN MST'!$Z11="DST",'[1]LMP IN MST'!$AA11="NORM",'[1]LMP IN MST'!$AB11="NOV"),'[1]LMP IN PPT'!Q13,IF(AND('[1]LMP IN PPT'!$A13='[1]LMP IN MST'!$A11,'[1]LMP IN MST'!$Z11="DST",'[1]LMP IN MST'!$AA11="NORM",OR('[1]LMP IN MST'!$AB11="MAR",'[1]LMP IN MST'!$AB11="")),'[1]LMP IN PPT'!P13,0))))))</f>
        <v>-19.107849999999999</v>
      </c>
      <c r="N11">
        <f>IF(AND('[1]LMP IN PPT'!$A13='[1]LMP IN MST'!$A11,'[1]LMP IN MST'!$Z11="ST",'[1]LMP IN MST'!$AA11="NORM",OR('[1]LMP IN MST'!$AB11="MAR",'[1]LMP IN MST'!$AB11="")),'[1]LMP IN PPT'!P13,IF(AND('[1]LMP IN PPT'!$A13='[1]LMP IN MST'!$A11,'[1]LMP IN MST'!$Z11="DST",'[1]LMP IN MST'!$AA11="FB",'[1]LMP IN MST'!$AB11="NOV"),'[1]LMP IN PPT'!Q13,IF(AND('[1]LMP IN PPT'!$A13='[1]LMP IN MST'!$A11,'[1]LMP IN MST'!$Z11="ST",'[1]LMP IN MST'!$AA11="NORM",'[1]LMP IN MST'!$AB11="NOV"),'[1]LMP IN PPT'!Q13,IF(AND('[1]LMP IN PPT'!$A13='[1]LMP IN MST'!$A11,'[1]LMP IN MST'!$Z11="DST",'[1]LMP IN MST'!$AA11="SF",'[1]LMP IN MST'!$AB11="MAR"),'[1]LMP IN PPT'!Q13,IF(AND('[1]LMP IN PPT'!$A13='[1]LMP IN MST'!$A11,'[1]LMP IN MST'!$Z11="DST",'[1]LMP IN MST'!$AA11="NORM",'[1]LMP IN MST'!$AB11="NOV"),'[1]LMP IN PPT'!R13,IF(AND('[1]LMP IN PPT'!$A13='[1]LMP IN MST'!$A11,'[1]LMP IN MST'!$Z11="DST",'[1]LMP IN MST'!$AA11="NORM",OR('[1]LMP IN MST'!$AB11="MAR",'[1]LMP IN MST'!$AB11="")),'[1]LMP IN PPT'!Q13,0))))))</f>
        <v>-19.386430000000001</v>
      </c>
      <c r="O11">
        <f>IF(AND('[1]LMP IN PPT'!$A13='[1]LMP IN MST'!$A11,'[1]LMP IN MST'!$Z11="ST",'[1]LMP IN MST'!$AA11="NORM",OR('[1]LMP IN MST'!$AB11="MAR",'[1]LMP IN MST'!$AB11="")),'[1]LMP IN PPT'!Q13,IF(AND('[1]LMP IN PPT'!$A13='[1]LMP IN MST'!$A11,'[1]LMP IN MST'!$Z11="DST",'[1]LMP IN MST'!$AA11="FB",'[1]LMP IN MST'!$AB11="NOV"),'[1]LMP IN PPT'!R13,IF(AND('[1]LMP IN PPT'!$A13='[1]LMP IN MST'!$A11,'[1]LMP IN MST'!$Z11="ST",'[1]LMP IN MST'!$AA11="NORM",'[1]LMP IN MST'!$AB11="NOV"),'[1]LMP IN PPT'!R13,IF(AND('[1]LMP IN PPT'!$A13='[1]LMP IN MST'!$A11,'[1]LMP IN MST'!$Z11="DST",'[1]LMP IN MST'!$AA11="SF",'[1]LMP IN MST'!$AB11="MAR"),'[1]LMP IN PPT'!R13,IF(AND('[1]LMP IN PPT'!$A13='[1]LMP IN MST'!$A11,'[1]LMP IN MST'!$Z11="DST",'[1]LMP IN MST'!$AA11="NORM",'[1]LMP IN MST'!$AB11="NOV"),'[1]LMP IN PPT'!S13,IF(AND('[1]LMP IN PPT'!$A13='[1]LMP IN MST'!$A11,'[1]LMP IN MST'!$Z11="DST",'[1]LMP IN MST'!$AA11="NORM",OR('[1]LMP IN MST'!$AB11="MAR",'[1]LMP IN MST'!$AB11="")),'[1]LMP IN PPT'!R13,0))))))</f>
        <v>-18.129950000000001</v>
      </c>
      <c r="P11">
        <f>IF(AND('[1]LMP IN PPT'!$A13='[1]LMP IN MST'!$A11,'[1]LMP IN MST'!$Z11="ST",'[1]LMP IN MST'!$AA11="NORM",OR('[1]LMP IN MST'!$AB11="MAR",'[1]LMP IN MST'!$AB11="")),'[1]LMP IN PPT'!R13,IF(AND('[1]LMP IN PPT'!$A13='[1]LMP IN MST'!$A11,'[1]LMP IN MST'!$Z11="DST",'[1]LMP IN MST'!$AA11="FB",'[1]LMP IN MST'!$AB11="NOV"),'[1]LMP IN PPT'!S13,IF(AND('[1]LMP IN PPT'!$A13='[1]LMP IN MST'!$A11,'[1]LMP IN MST'!$Z11="ST",'[1]LMP IN MST'!$AA11="NORM",'[1]LMP IN MST'!$AB11="NOV"),'[1]LMP IN PPT'!S13,IF(AND('[1]LMP IN PPT'!$A13='[1]LMP IN MST'!$A11,'[1]LMP IN MST'!$Z11="DST",'[1]LMP IN MST'!$AA11="SF",'[1]LMP IN MST'!$AB11="MAR"),'[1]LMP IN PPT'!S13,IF(AND('[1]LMP IN PPT'!$A13='[1]LMP IN MST'!$A11,'[1]LMP IN MST'!$Z11="DST",'[1]LMP IN MST'!$AA11="NORM",'[1]LMP IN MST'!$AB11="NOV"),'[1]LMP IN PPT'!T13,IF(AND('[1]LMP IN PPT'!$A13='[1]LMP IN MST'!$A11,'[1]LMP IN MST'!$Z11="DST",'[1]LMP IN MST'!$AA11="NORM",OR('[1]LMP IN MST'!$AB11="MAR",'[1]LMP IN MST'!$AB11="")),'[1]LMP IN PPT'!S13,0))))))</f>
        <v>-17.480889999999999</v>
      </c>
      <c r="Q11">
        <f>IF(AND('[1]LMP IN PPT'!$A13='[1]LMP IN MST'!$A11,'[1]LMP IN MST'!$Z11="ST",'[1]LMP IN MST'!$AA11="NORM",OR('[1]LMP IN MST'!$AB11="MAR",'[1]LMP IN MST'!$AB11="")),'[1]LMP IN PPT'!S13,IF(AND('[1]LMP IN PPT'!$A13='[1]LMP IN MST'!$A11,'[1]LMP IN MST'!$Z11="DST",'[1]LMP IN MST'!$AA11="FB",'[1]LMP IN MST'!$AB11="NOV"),'[1]LMP IN PPT'!T13,IF(AND('[1]LMP IN PPT'!$A13='[1]LMP IN MST'!$A11,'[1]LMP IN MST'!$Z11="ST",'[1]LMP IN MST'!$AA11="NORM",'[1]LMP IN MST'!$AB11="NOV"),'[1]LMP IN PPT'!T13,IF(AND('[1]LMP IN PPT'!$A13='[1]LMP IN MST'!$A11,'[1]LMP IN MST'!$Z11="DST",'[1]LMP IN MST'!$AA11="SF",'[1]LMP IN MST'!$AB11="MAR"),'[1]LMP IN PPT'!T13,IF(AND('[1]LMP IN PPT'!$A13='[1]LMP IN MST'!$A11,'[1]LMP IN MST'!$Z11="DST",'[1]LMP IN MST'!$AA11="NORM",'[1]LMP IN MST'!$AB11="NOV"),'[1]LMP IN PPT'!U13,IF(AND('[1]LMP IN PPT'!$A13='[1]LMP IN MST'!$A11,'[1]LMP IN MST'!$Z11="DST",'[1]LMP IN MST'!$AA11="NORM",OR('[1]LMP IN MST'!$AB11="MAR",'[1]LMP IN MST'!$AB11="")),'[1]LMP IN PPT'!T13,0))))))</f>
        <v>-15.579330000000001</v>
      </c>
      <c r="R11">
        <f>IF(AND('[1]LMP IN PPT'!$A13='[1]LMP IN MST'!$A11,'[1]LMP IN MST'!$Z11="ST",'[1]LMP IN MST'!$AA11="NORM",OR('[1]LMP IN MST'!$AB11="MAR",'[1]LMP IN MST'!$AB11="")),'[1]LMP IN PPT'!T13,IF(AND('[1]LMP IN PPT'!$A13='[1]LMP IN MST'!$A11,'[1]LMP IN MST'!$Z11="DST",'[1]LMP IN MST'!$AA11="FB",'[1]LMP IN MST'!$AB11="NOV"),'[1]LMP IN PPT'!U13,IF(AND('[1]LMP IN PPT'!$A13='[1]LMP IN MST'!$A11,'[1]LMP IN MST'!$Z11="ST",'[1]LMP IN MST'!$AA11="NORM",'[1]LMP IN MST'!$AB11="NOV"),'[1]LMP IN PPT'!U13,IF(AND('[1]LMP IN PPT'!$A13='[1]LMP IN MST'!$A11,'[1]LMP IN MST'!$Z11="DST",'[1]LMP IN MST'!$AA11="SF",'[1]LMP IN MST'!$AB11="MAR"),'[1]LMP IN PPT'!U13,IF(AND('[1]LMP IN PPT'!$A13='[1]LMP IN MST'!$A11,'[1]LMP IN MST'!$Z11="DST",'[1]LMP IN MST'!$AA11="NORM",'[1]LMP IN MST'!$AB11="NOV"),'[1]LMP IN PPT'!V13,IF(AND('[1]LMP IN PPT'!$A13='[1]LMP IN MST'!$A11,'[1]LMP IN MST'!$Z11="DST",'[1]LMP IN MST'!$AA11="NORM",OR('[1]LMP IN MST'!$AB11="MAR",'[1]LMP IN MST'!$AB11="")),'[1]LMP IN PPT'!U13,0))))))</f>
        <v>-2.6299800000000002</v>
      </c>
      <c r="S11">
        <f>IF(AND('[1]LMP IN PPT'!$A13='[1]LMP IN MST'!$A11,'[1]LMP IN MST'!$Z11="ST",'[1]LMP IN MST'!$AA11="NORM",OR('[1]LMP IN MST'!$AB11="MAR",'[1]LMP IN MST'!$AB11="")),'[1]LMP IN PPT'!U13,IF(AND('[1]LMP IN PPT'!$A13='[1]LMP IN MST'!$A11,'[1]LMP IN MST'!$Z11="DST",'[1]LMP IN MST'!$AA11="FB",'[1]LMP IN MST'!$AB11="NOV"),'[1]LMP IN PPT'!V13,IF(AND('[1]LMP IN PPT'!$A13='[1]LMP IN MST'!$A11,'[1]LMP IN MST'!$Z11="ST",'[1]LMP IN MST'!$AA11="NORM",'[1]LMP IN MST'!$AB11="NOV"),'[1]LMP IN PPT'!V13,IF(AND('[1]LMP IN PPT'!$A13='[1]LMP IN MST'!$A11,'[1]LMP IN MST'!$Z11="DST",'[1]LMP IN MST'!$AA11="SF",'[1]LMP IN MST'!$AB11="MAR"),'[1]LMP IN PPT'!V13,IF(AND('[1]LMP IN PPT'!$A13='[1]LMP IN MST'!$A11,'[1]LMP IN MST'!$Z11="DST",'[1]LMP IN MST'!$AA11="NORM",'[1]LMP IN MST'!$AB11="NOV"),'[1]LMP IN PPT'!W13,IF(AND('[1]LMP IN PPT'!$A13='[1]LMP IN MST'!$A11,'[1]LMP IN MST'!$Z11="DST",'[1]LMP IN MST'!$AA11="NORM",OR('[1]LMP IN MST'!$AB11="MAR",'[1]LMP IN MST'!$AB11="")),'[1]LMP IN PPT'!V13,0))))))</f>
        <v>18.726410000000001</v>
      </c>
      <c r="T11">
        <f>IF(AND('[1]LMP IN PPT'!$A13='[1]LMP IN MST'!$A11,'[1]LMP IN MST'!$Z11="ST",'[1]LMP IN MST'!$AA11="NORM",OR('[1]LMP IN MST'!$AB11="MAR",'[1]LMP IN MST'!$AB11="")),'[1]LMP IN PPT'!V13,IF(AND('[1]LMP IN PPT'!$A13='[1]LMP IN MST'!$A11,'[1]LMP IN MST'!$Z11="DST",'[1]LMP IN MST'!$AA11="FB",'[1]LMP IN MST'!$AB11="NOV"),'[1]LMP IN PPT'!W13,IF(AND('[1]LMP IN PPT'!$A13='[1]LMP IN MST'!$A11,'[1]LMP IN MST'!$Z11="ST",'[1]LMP IN MST'!$AA11="NORM",'[1]LMP IN MST'!$AB11="NOV"),'[1]LMP IN PPT'!W13,IF(AND('[1]LMP IN PPT'!$A13='[1]LMP IN MST'!$A11,'[1]LMP IN MST'!$Z11="DST",'[1]LMP IN MST'!$AA11="SF",'[1]LMP IN MST'!$AB11="MAR"),'[1]LMP IN PPT'!W13,IF(AND('[1]LMP IN PPT'!$A13='[1]LMP IN MST'!$A11,'[1]LMP IN MST'!$Z11="DST",'[1]LMP IN MST'!$AA11="NORM",'[1]LMP IN MST'!$AB11="NOV"),'[1]LMP IN PPT'!X13,IF(AND('[1]LMP IN PPT'!$A13='[1]LMP IN MST'!$A11,'[1]LMP IN MST'!$Z11="DST",'[1]LMP IN MST'!$AA11="NORM",OR('[1]LMP IN MST'!$AB11="MAR",'[1]LMP IN MST'!$AB11="")),'[1]LMP IN PPT'!W13,0))))))</f>
        <v>42.328029999999998</v>
      </c>
      <c r="U11">
        <f>IF(AND('[1]LMP IN PPT'!$A13='[1]LMP IN MST'!$A11,'[1]LMP IN MST'!$Z11="ST",'[1]LMP IN MST'!$AA11="NORM",OR('[1]LMP IN MST'!$AB11="MAR",'[1]LMP IN MST'!$AB11="")),'[1]LMP IN PPT'!W13,IF(AND('[1]LMP IN PPT'!$A13='[1]LMP IN MST'!$A11,'[1]LMP IN MST'!$Z11="DST",'[1]LMP IN MST'!$AA11="FB",'[1]LMP IN MST'!$AB11="NOV"),'[1]LMP IN PPT'!X13,IF(AND('[1]LMP IN PPT'!$A13='[1]LMP IN MST'!$A11,'[1]LMP IN MST'!$Z11="ST",'[1]LMP IN MST'!$AA11="NORM",'[1]LMP IN MST'!$AB11="NOV"),'[1]LMP IN PPT'!X13,IF(AND('[1]LMP IN PPT'!$A13='[1]LMP IN MST'!$A11,'[1]LMP IN MST'!$Z11="DST",'[1]LMP IN MST'!$AA11="SF",'[1]LMP IN MST'!$AB11="MAR"),'[1]LMP IN PPT'!X13,IF(AND('[1]LMP IN PPT'!$A13='[1]LMP IN MST'!$A11,'[1]LMP IN MST'!$Z11="DST",'[1]LMP IN MST'!$AA11="NORM",'[1]LMP IN MST'!$AB11="NOV"),'[1]LMP IN PPT'!Y13,IF(AND('[1]LMP IN PPT'!$A13='[1]LMP IN MST'!$A11,'[1]LMP IN MST'!$Z11="DST",'[1]LMP IN MST'!$AA11="NORM",OR('[1]LMP IN MST'!$AB11="MAR",'[1]LMP IN MST'!$AB11="")),'[1]LMP IN PPT'!X13,0))))))</f>
        <v>45.344769999999997</v>
      </c>
      <c r="V11">
        <f>IF(AND('[1]LMP IN PPT'!$A13='[1]LMP IN MST'!$A11,'[1]LMP IN MST'!$Z11="ST",'[1]LMP IN MST'!$AA11="NORM",OR('[1]LMP IN MST'!$AB11="MAR",'[1]LMP IN MST'!$AB11="")),'[1]LMP IN PPT'!X13,IF(AND('[1]LMP IN PPT'!$A13='[1]LMP IN MST'!$A11,'[1]LMP IN MST'!$Z11="DST",'[1]LMP IN MST'!$AA11="FB",'[1]LMP IN MST'!$AB11="NOV"),'[1]LMP IN PPT'!Y13,IF(AND('[1]LMP IN PPT'!$A13='[1]LMP IN MST'!$A11,'[1]LMP IN MST'!$Z11="ST",'[1]LMP IN MST'!$AA11="NORM",'[1]LMP IN MST'!$AB11="NOV"),'[1]LMP IN PPT'!Y13,IF(AND('[1]LMP IN PPT'!$A13='[1]LMP IN MST'!$A11,'[1]LMP IN MST'!$Z11="DST",'[1]LMP IN MST'!$AA11="SF",'[1]LMP IN MST'!$AB11="MAR"),'[1]LMP IN PPT'!Y13,IF(AND('[1]LMP IN PPT'!$A13='[1]LMP IN MST'!$A11,'[1]LMP IN MST'!$Z11="DST",'[1]LMP IN MST'!$AA11="NORM",'[1]LMP IN MST'!$AB11="NOV"),'[1]LMP IN PPT'!Z13,IF(AND('[1]LMP IN PPT'!$A13='[1]LMP IN MST'!$A11,'[1]LMP IN MST'!$Z11="DST",'[1]LMP IN MST'!$AA11="NORM",OR('[1]LMP IN MST'!$AB11="MAR",'[1]LMP IN MST'!$AB11="")),'[1]LMP IN PPT'!Y13,0))))))</f>
        <v>45.291130000000003</v>
      </c>
      <c r="W11">
        <f>IF(AND('[1]LMP IN PPT'!$A13='[1]LMP IN MST'!$A11,'[1]LMP IN MST'!$Z11="ST",'[1]LMP IN MST'!$AA11="NORM",OR('[1]LMP IN MST'!$AB11="MAR",'[1]LMP IN MST'!$AB11="")),'[1]LMP IN PPT'!Y13,IF(AND('[1]LMP IN PPT'!$A13='[1]LMP IN MST'!$A11,'[1]LMP IN MST'!$Z11="DST",'[1]LMP IN MST'!$AA11="FB",'[1]LMP IN MST'!$AB11="NOV"),'[1]LMP IN PPT'!Z13,IF(AND('[1]LMP IN PPT'!$A13='[1]LMP IN MST'!$A11,'[1]LMP IN MST'!$Z11="ST",'[1]LMP IN MST'!$AA11="NORM",'[1]LMP IN MST'!$AB11="NOV"),'[1]LMP IN PPT'!Z13,IF(AND('[1]LMP IN PPT'!$A13='[1]LMP IN MST'!$A11,'[1]LMP IN MST'!$Z11="DST",'[1]LMP IN MST'!$AA11="SF",'[1]LMP IN MST'!$AB11="MAR"),'[1]LMP IN PPT'!Z13,IF(AND('[1]LMP IN PPT'!$A13='[1]LMP IN MST'!$A11,'[1]LMP IN MST'!$Z11="DST",'[1]LMP IN MST'!$AA11="NORM",'[1]LMP IN MST'!$AB11="NOV"),'[1]LMP IN PPT'!AA13,IF(AND('[1]LMP IN PPT'!$A13='[1]LMP IN MST'!$A11,'[1]LMP IN MST'!$Z11="DST",'[1]LMP IN MST'!$AA11="NORM",OR('[1]LMP IN MST'!$AB11="MAR",'[1]LMP IN MST'!$AB11="")),'[1]LMP IN PPT'!Z13,0))))))</f>
        <v>43.015439999999998</v>
      </c>
      <c r="X11">
        <f>IF(AND('[1]LMP IN PPT'!$A13='[1]LMP IN MST'!$A11,'[1]LMP IN MST'!$Z11="ST",'[1]LMP IN MST'!$AA11="NORM",OR('[1]LMP IN MST'!$AB11="MAR",'[1]LMP IN MST'!$AB11="")),'[1]LMP IN PPT'!Z13,IF(AND('[1]LMP IN PPT'!$A13='[1]LMP IN MST'!$A11,'[1]LMP IN MST'!$Z11="DST",'[1]LMP IN MST'!$AA11="FB",'[1]LMP IN MST'!$AB11="NOV"),'[1]LMP IN PPT'!AA13,IF(AND('[1]LMP IN PPT'!$A13='[1]LMP IN MST'!$A11,'[1]LMP IN MST'!$Z11="ST",'[1]LMP IN MST'!$AA11="NORM",'[1]LMP IN MST'!$AB11="NOV"),'[1]LMP IN PPT'!AA13,IF(AND('[1]LMP IN PPT'!$A13='[1]LMP IN MST'!$A11,'[1]LMP IN MST'!$Z11="DST",'[1]LMP IN MST'!$AA11="SF",'[1]LMP IN MST'!$AB11="MAR"),'[1]LMP IN PPT'!AA13,IF(AND('[1]LMP IN PPT'!$A13='[1]LMP IN MST'!$A11,'[1]LMP IN MST'!$Z11="DST",'[1]LMP IN MST'!$AA11="NORM",'[1]LMP IN MST'!$AB11="NOV"),'[1]LMP IN PPT'!AB13,IF(AND('[1]LMP IN PPT'!$A13='[1]LMP IN MST'!$A11,'[1]LMP IN MST'!$Z11="DST",'[1]LMP IN MST'!$AA11="NORM",OR('[1]LMP IN MST'!$AB11="MAR",'[1]LMP IN MST'!$AB11="")),'[1]LMP IN PPT'!AA13,0))))))</f>
        <v>42.218730000000001</v>
      </c>
      <c r="Y11">
        <f>IF(AND('[1]LMP IN PPT'!$A13='[1]LMP IN MST'!$A11,'[1]LMP IN MST'!$Z11="ST",'[1]LMP IN MST'!$AA11="NORM",OR('[1]LMP IN MST'!$AB11="MAR",'[1]LMP IN MST'!$AB11="")),'[1]LMP IN PPT'!AA13,IF(AND('[1]LMP IN PPT'!$A13='[1]LMP IN MST'!$A11,'[1]LMP IN MST'!$Z11="DST",'[1]LMP IN MST'!$AA11="FB",'[1]LMP IN MST'!$AB11="NOV"),'[1]LMP IN PPT'!AB13,IF(AND('[1]LMP IN PPT'!$A13='[1]LMP IN MST'!$A11,'[1]LMP IN MST'!$Z11="ST",'[1]LMP IN MST'!$AA11="NORM",'[1]LMP IN MST'!$AB11="NOV"),'[1]LMP IN PPT'!AB13,IF(AND('[1]LMP IN PPT'!$A13='[1]LMP IN MST'!$A11,'[1]LMP IN MST'!$Z11="DST",'[1]LMP IN MST'!$AA11="SF",'[1]LMP IN MST'!$AB11="MAR"),'[1]LMP IN PPT'!AB13,IF(AND('[1]LMP IN PPT'!$A13='[1]LMP IN MST'!$A11,'[1]LMP IN MST'!$Z11="DST",'[1]LMP IN MST'!$AA11="NORM",'[1]LMP IN MST'!$AB11="NOV"),'[1]LMP IN PPT'!AC13,IF(AND('[1]LMP IN PPT'!$A13='[1]LMP IN MST'!$A11,'[1]LMP IN MST'!$Z11="DST",'[1]LMP IN MST'!$AA11="NORM",OR('[1]LMP IN MST'!$AB11="MAR",'[1]LMP IN MST'!$AB11="")),'[1]LMP IN PPT'!AB13,0))))))</f>
        <v>41.641919999999999</v>
      </c>
    </row>
    <row r="12" spans="1:25" x14ac:dyDescent="0.3">
      <c r="A12" s="1">
        <f t="shared" si="0"/>
        <v>45362</v>
      </c>
      <c r="B12">
        <f>IF(AND('[1]LMP IN PPT'!$A14='[1]LMP IN MST'!$A12,'[1]LMP IN MST'!$Z12="ST",'[1]LMP IN MST'!$AA12="NORM",'[1]LMP IN MST'!$AB12="NOV"),'[1]LMP IN PPT'!AC13,IF(AND('[1]LMP IN PPT'!$A14='[1]LMP IN MST'!$A12,'[1]LMP IN MST'!$Z12="ST",'[1]LMP IN MST'!$AA12="NORM",'[1]LMP IN MST'!$AB12="MAR"),'[1]LMP IN PPT'!AB13,IF(AND('[1]LMP IN PPT'!$A14='[1]LMP IN MST'!$A12,'[1]LMP IN MST'!$Z12="ST",'[1]LMP IN MST'!$AA12="NORM",'[1]LMP IN MST'!$AB12=""),'[1]LMP IN PPT'!AB13,IF(AND('[1]LMP IN PPT'!$A14='[1]LMP IN MST'!$A12,'[1]LMP IN MST'!$Z12="DST",'[1]LMP IN MST'!$AA12="FB",'[1]LMP IN MST'!$AB12="NOV"),'[1]LMP IN PPT'!E14,IF(AND('[1]LMP IN PPT'!$A14='[1]LMP IN MST'!$A12,'[1]LMP IN MST'!$Z12="DST",'[1]LMP IN MST'!$AA12="SF",'[1]LMP IN MST'!$AB12="MAR"),'[1]LMP IN PPT'!AB13,IF(AND('[1]LMP IN PPT'!$A14='[1]LMP IN MST'!$A12,'[1]LMP IN MST'!$Z12="DST",'[1]LMP IN MST'!$AA12="NORM",OR('[1]LMP IN MST'!$AB12="MAR",'[1]LMP IN MST'!$AB12="",'[1]LMP IN MST'!$AB12="NOV")),'[1]LMP IN PPT'!E14,0))))))</f>
        <v>33.66883</v>
      </c>
      <c r="C12">
        <f>IF(AND('[1]LMP IN PPT'!$A14='[1]LMP IN MST'!$A12,'[1]LMP IN MST'!$Z12="ST",'[1]LMP IN MST'!$AA12="NORM",OR('[1]LMP IN MST'!$AB12="NOV",'[1]LMP IN MST'!$AB12="MAR",'[1]LMP IN MST'!$AB12="")),'[1]LMP IN PPT'!E14,IF(AND('[1]LMP IN PPT'!$A14='[1]LMP IN MST'!$A12,'[1]LMP IN MST'!$Z12="DST",'[1]LMP IN MST'!$AA12="FB",'[1]LMP IN MST'!$AB12="NOV"),'[1]LMP IN PPT'!F14,IF(AND('[1]LMP IN PPT'!$A14='[1]LMP IN MST'!$A12,'[1]LMP IN MST'!$Z12="DST",'[1]LMP IN MST'!$AA12="SF",'[1]LMP IN MST'!$AB12="MAR"),'[1]LMP IN PPT'!E14,IF(AND('[1]LMP IN PPT'!$A14='[1]LMP IN MST'!$A12,'[1]LMP IN MST'!$Z12="DST",'[1]LMP IN MST'!$AA12="NORM",OR('[1]LMP IN MST'!$AB12="MAR",'[1]LMP IN MST'!$AB12="",'[1]LMP IN MST'!$AB12="NOV")),'[1]LMP IN PPT'!F14,0))))</f>
        <v>32.979469999999999</v>
      </c>
      <c r="D12">
        <f>IF(AND('[1]LMP IN PPT'!$A14='[1]LMP IN MST'!$A12,'[1]LMP IN MST'!$Z12="ST",'[1]LMP IN MST'!$AA12="NORM",OR('[1]LMP IN MST'!$AB12="NOV",'[1]LMP IN MST'!$AB12="MAR",'[1]LMP IN MST'!$AB12="")),'[1]LMP IN PPT'!F14,IF(AND('[1]LMP IN PPT'!$A14='[1]LMP IN MST'!$A12,'[1]LMP IN MST'!$Z12="DST",'[1]LMP IN MST'!$AA12="FB",'[1]LMP IN MST'!$AB12="NOV"),'[1]LMP IN PPT'!G14,IF(AND('[1]LMP IN PPT'!$A14='[1]LMP IN MST'!$A12,'[1]LMP IN MST'!$Z12="DST",'[1]LMP IN MST'!$AA12="SF",'[1]LMP IN MST'!$AB12="MAR"),'[1]LMP IN PPT'!F14,IF(AND('[1]LMP IN PPT'!$A14='[1]LMP IN MST'!$A12,'[1]LMP IN MST'!$Z12="DST",'[1]LMP IN MST'!$AA12="NORM",'[1]LMP IN MST'!$AB12="NOV"),'[1]LMP IN PPT'!H14,IF(AND('[1]LMP IN PPT'!$A14='[1]LMP IN MST'!$A12,'[1]LMP IN MST'!$Z12="DST",'[1]LMP IN MST'!$AA12="NORM",OR('[1]LMP IN MST'!$AB12="MAR",'[1]LMP IN MST'!$AB12="")),'[1]LMP IN PPT'!G14,0)))))</f>
        <v>31.03651</v>
      </c>
      <c r="E12">
        <f>IF(AND('[1]LMP IN PPT'!$A14='[1]LMP IN MST'!$A12,'[1]LMP IN MST'!$Z12="ST",'[1]LMP IN MST'!$AA12="NORM",OR('[1]LMP IN MST'!$AB12="MAR",'[1]LMP IN MST'!$AB12="")),'[1]LMP IN PPT'!G14,IF(AND('[1]LMP IN PPT'!$A14='[1]LMP IN MST'!$A12,'[1]LMP IN MST'!$Z12="DST",'[1]LMP IN MST'!$AA12="FB",'[1]LMP IN MST'!$AB12="NOV"),'[1]LMP IN PPT'!H14,IF(AND('[1]LMP IN PPT'!$A14='[1]LMP IN MST'!$A12,'[1]LMP IN MST'!$Z12="ST",'[1]LMP IN MST'!$AA12="NORM",'[1]LMP IN MST'!$AB12="NOV"),'[1]LMP IN PPT'!H14,IF(AND('[1]LMP IN PPT'!$A14='[1]LMP IN MST'!$A12,'[1]LMP IN MST'!$Z12="DST",'[1]LMP IN MST'!$AA12="SF",'[1]LMP IN MST'!$AB12="MAR"),'[1]LMP IN PPT'!H14,IF(AND('[1]LMP IN PPT'!$A14='[1]LMP IN MST'!$A12,'[1]LMP IN MST'!$Z12="DST",'[1]LMP IN MST'!$AA12="NORM",'[1]LMP IN MST'!$AB12="NOV"),'[1]LMP IN PPT'!I14,IF(AND('[1]LMP IN PPT'!$A14='[1]LMP IN MST'!$A12,'[1]LMP IN MST'!$Z12="DST",'[1]LMP IN MST'!$AA12="NORM",OR('[1]LMP IN MST'!$AB12="MAR",'[1]LMP IN MST'!$AB12="")),'[1]LMP IN PPT'!H14,0))))))</f>
        <v>30.52891</v>
      </c>
      <c r="F12">
        <f>IF(AND('[1]LMP IN PPT'!$A14='[1]LMP IN MST'!$A12,'[1]LMP IN MST'!$Z12="ST",'[1]LMP IN MST'!$AA12="NORM",OR('[1]LMP IN MST'!$AB12="MAR",'[1]LMP IN MST'!$AB12="")),'[1]LMP IN PPT'!H14,IF(AND('[1]LMP IN PPT'!$A14='[1]LMP IN MST'!$A12,'[1]LMP IN MST'!$Z12="DST",'[1]LMP IN MST'!$AA12="FB",'[1]LMP IN MST'!$AB12="NOV"),'[1]LMP IN PPT'!I14,IF(AND('[1]LMP IN PPT'!$A14='[1]LMP IN MST'!$A12,'[1]LMP IN MST'!$Z12="ST",'[1]LMP IN MST'!$AA12="NORM",'[1]LMP IN MST'!$AB12="NOV"),'[1]LMP IN PPT'!I14,IF(AND('[1]LMP IN PPT'!$A14='[1]LMP IN MST'!$A12,'[1]LMP IN MST'!$Z12="DST",'[1]LMP IN MST'!$AA12="SF",'[1]LMP IN MST'!$AB12="MAR"),'[1]LMP IN PPT'!I14,IF(AND('[1]LMP IN PPT'!$A14='[1]LMP IN MST'!$A12,'[1]LMP IN MST'!$Z12="DST",'[1]LMP IN MST'!$AA12="NORM",'[1]LMP IN MST'!$AB12="NOV"),'[1]LMP IN PPT'!J14,IF(AND('[1]LMP IN PPT'!$A14='[1]LMP IN MST'!$A12,'[1]LMP IN MST'!$Z12="DST",'[1]LMP IN MST'!$AA12="NORM",OR('[1]LMP IN MST'!$AB12="MAR",'[1]LMP IN MST'!$AB12="")),'[1]LMP IN PPT'!I14,0))))))</f>
        <v>31.01605</v>
      </c>
      <c r="G12">
        <f>IF(AND('[1]LMP IN PPT'!$A14='[1]LMP IN MST'!$A12,'[1]LMP IN MST'!$Z12="ST",'[1]LMP IN MST'!$AA12="NORM",OR('[1]LMP IN MST'!$AB12="MAR",'[1]LMP IN MST'!$AB12="")),'[1]LMP IN PPT'!I14,IF(AND('[1]LMP IN PPT'!$A14='[1]LMP IN MST'!$A12,'[1]LMP IN MST'!$Z12="DST",'[1]LMP IN MST'!$AA12="FB",'[1]LMP IN MST'!$AB12="NOV"),'[1]LMP IN PPT'!J14,IF(AND('[1]LMP IN PPT'!$A14='[1]LMP IN MST'!$A12,'[1]LMP IN MST'!$Z12="ST",'[1]LMP IN MST'!$AA12="NORM",'[1]LMP IN MST'!$AB12="NOV"),'[1]LMP IN PPT'!J14,IF(AND('[1]LMP IN PPT'!$A14='[1]LMP IN MST'!$A12,'[1]LMP IN MST'!$Z12="DST",'[1]LMP IN MST'!$AA12="SF",'[1]LMP IN MST'!$AB12="MAR"),'[1]LMP IN PPT'!J14,IF(AND('[1]LMP IN PPT'!$A14='[1]LMP IN MST'!$A12,'[1]LMP IN MST'!$Z12="DST",'[1]LMP IN MST'!$AA12="NORM",'[1]LMP IN MST'!$AB12="NOV"),'[1]LMP IN PPT'!K14,IF(AND('[1]LMP IN PPT'!$A14='[1]LMP IN MST'!$A12,'[1]LMP IN MST'!$Z12="DST",'[1]LMP IN MST'!$AA12="NORM",OR('[1]LMP IN MST'!$AB12="MAR",'[1]LMP IN MST'!$AB12="")),'[1]LMP IN PPT'!J14,0))))))</f>
        <v>35.57</v>
      </c>
      <c r="H12">
        <f>IF(AND('[1]LMP IN PPT'!$A14='[1]LMP IN MST'!$A12,'[1]LMP IN MST'!$Z12="ST",'[1]LMP IN MST'!$AA12="NORM",OR('[1]LMP IN MST'!$AB12="MAR",'[1]LMP IN MST'!$AB12="")),'[1]LMP IN PPT'!J14,IF(AND('[1]LMP IN PPT'!$A14='[1]LMP IN MST'!$A12,'[1]LMP IN MST'!$Z12="DST",'[1]LMP IN MST'!$AA12="FB",'[1]LMP IN MST'!$AB12="NOV"),'[1]LMP IN PPT'!K14,IF(AND('[1]LMP IN PPT'!$A14='[1]LMP IN MST'!$A12,'[1]LMP IN MST'!$Z12="ST",'[1]LMP IN MST'!$AA12="NORM",'[1]LMP IN MST'!$AB12="NOV"),'[1]LMP IN PPT'!K14,IF(AND('[1]LMP IN PPT'!$A14='[1]LMP IN MST'!$A12,'[1]LMP IN MST'!$Z12="DST",'[1]LMP IN MST'!$AA12="SF",'[1]LMP IN MST'!$AB12="MAR"),'[1]LMP IN PPT'!K14,IF(AND('[1]LMP IN PPT'!$A14='[1]LMP IN MST'!$A12,'[1]LMP IN MST'!$Z12="DST",'[1]LMP IN MST'!$AA12="NORM",'[1]LMP IN MST'!$AB12="NOV"),'[1]LMP IN PPT'!L14,IF(AND('[1]LMP IN PPT'!$A14='[1]LMP IN MST'!$A12,'[1]LMP IN MST'!$Z12="DST",'[1]LMP IN MST'!$AA12="NORM",OR('[1]LMP IN MST'!$AB12="MAR",'[1]LMP IN MST'!$AB12="")),'[1]LMP IN PPT'!K14,0))))))</f>
        <v>52.835470000000001</v>
      </c>
      <c r="I12">
        <f>IF(AND('[1]LMP IN PPT'!$A14='[1]LMP IN MST'!$A12,'[1]LMP IN MST'!$Z12="ST",'[1]LMP IN MST'!$AA12="NORM",OR('[1]LMP IN MST'!$AB12="MAR",'[1]LMP IN MST'!$AB12="")),'[1]LMP IN PPT'!K14,IF(AND('[1]LMP IN PPT'!$A14='[1]LMP IN MST'!$A12,'[1]LMP IN MST'!$Z12="DST",'[1]LMP IN MST'!$AA12="FB",'[1]LMP IN MST'!$AB12="NOV"),'[1]LMP IN PPT'!L14,IF(AND('[1]LMP IN PPT'!$A14='[1]LMP IN MST'!$A12,'[1]LMP IN MST'!$Z12="ST",'[1]LMP IN MST'!$AA12="NORM",'[1]LMP IN MST'!$AB12="NOV"),'[1]LMP IN PPT'!L14,IF(AND('[1]LMP IN PPT'!$A14='[1]LMP IN MST'!$A12,'[1]LMP IN MST'!$Z12="DST",'[1]LMP IN MST'!$AA12="SF",'[1]LMP IN MST'!$AB12="MAR"),'[1]LMP IN PPT'!L14,IF(AND('[1]LMP IN PPT'!$A14='[1]LMP IN MST'!$A12,'[1]LMP IN MST'!$Z12="DST",'[1]LMP IN MST'!$AA12="NORM",'[1]LMP IN MST'!$AB12="NOV"),'[1]LMP IN PPT'!M14,IF(AND('[1]LMP IN PPT'!$A14='[1]LMP IN MST'!$A12,'[1]LMP IN MST'!$Z12="DST",'[1]LMP IN MST'!$AA12="NORM",OR('[1]LMP IN MST'!$AB12="MAR",'[1]LMP IN MST'!$AB12="")),'[1]LMP IN PPT'!L14,0))))))</f>
        <v>54.89114</v>
      </c>
      <c r="J12">
        <f>IF(AND('[1]LMP IN PPT'!$A14='[1]LMP IN MST'!$A12,'[1]LMP IN MST'!$Z12="ST",'[1]LMP IN MST'!$AA12="NORM",OR('[1]LMP IN MST'!$AB12="MAR",'[1]LMP IN MST'!$AB12="")),'[1]LMP IN PPT'!L14,IF(AND('[1]LMP IN PPT'!$A14='[1]LMP IN MST'!$A12,'[1]LMP IN MST'!$Z12="DST",'[1]LMP IN MST'!$AA12="FB",'[1]LMP IN MST'!$AB12="NOV"),'[1]LMP IN PPT'!M14,IF(AND('[1]LMP IN PPT'!$A14='[1]LMP IN MST'!$A12,'[1]LMP IN MST'!$Z12="ST",'[1]LMP IN MST'!$AA12="NORM",'[1]LMP IN MST'!$AB12="NOV"),'[1]LMP IN PPT'!M14,IF(AND('[1]LMP IN PPT'!$A14='[1]LMP IN MST'!$A12,'[1]LMP IN MST'!$Z12="DST",'[1]LMP IN MST'!$AA12="SF",'[1]LMP IN MST'!$AB12="MAR"),'[1]LMP IN PPT'!M14,IF(AND('[1]LMP IN PPT'!$A14='[1]LMP IN MST'!$A12,'[1]LMP IN MST'!$Z12="DST",'[1]LMP IN MST'!$AA12="NORM",'[1]LMP IN MST'!$AB12="NOV"),'[1]LMP IN PPT'!N14,IF(AND('[1]LMP IN PPT'!$A14='[1]LMP IN MST'!$A12,'[1]LMP IN MST'!$Z12="DST",'[1]LMP IN MST'!$AA12="NORM",OR('[1]LMP IN MST'!$AB12="MAR",'[1]LMP IN MST'!$AB12="")),'[1]LMP IN PPT'!M14,0))))))</f>
        <v>21.554020000000001</v>
      </c>
      <c r="K12">
        <f>IF(AND('[1]LMP IN PPT'!$A14='[1]LMP IN MST'!$A12,'[1]LMP IN MST'!$Z12="ST",'[1]LMP IN MST'!$AA12="NORM",OR('[1]LMP IN MST'!$AB12="MAR",'[1]LMP IN MST'!$AB12="")),'[1]LMP IN PPT'!M14,IF(AND('[1]LMP IN PPT'!$A14='[1]LMP IN MST'!$A12,'[1]LMP IN MST'!$Z12="DST",'[1]LMP IN MST'!$AA12="FB",'[1]LMP IN MST'!$AB12="NOV"),'[1]LMP IN PPT'!N14,IF(AND('[1]LMP IN PPT'!$A14='[1]LMP IN MST'!$A12,'[1]LMP IN MST'!$Z12="ST",'[1]LMP IN MST'!$AA12="NORM",'[1]LMP IN MST'!$AB12="NOV"),'[1]LMP IN PPT'!N14,IF(AND('[1]LMP IN PPT'!$A14='[1]LMP IN MST'!$A12,'[1]LMP IN MST'!$Z12="DST",'[1]LMP IN MST'!$AA12="SF",'[1]LMP IN MST'!$AB12="MAR"),'[1]LMP IN PPT'!N14,IF(AND('[1]LMP IN PPT'!$A14='[1]LMP IN MST'!$A12,'[1]LMP IN MST'!$Z12="DST",'[1]LMP IN MST'!$AA12="NORM",'[1]LMP IN MST'!$AB12="NOV"),'[1]LMP IN PPT'!O14,IF(AND('[1]LMP IN PPT'!$A14='[1]LMP IN MST'!$A12,'[1]LMP IN MST'!$Z12="DST",'[1]LMP IN MST'!$AA12="NORM",OR('[1]LMP IN MST'!$AB12="MAR",'[1]LMP IN MST'!$AB12="")),'[1]LMP IN PPT'!N14,0))))))</f>
        <v>-4.6182999999999996</v>
      </c>
      <c r="L12">
        <f>IF(AND('[1]LMP IN PPT'!$A14='[1]LMP IN MST'!$A12,'[1]LMP IN MST'!$Z12="ST",'[1]LMP IN MST'!$AA12="NORM",OR('[1]LMP IN MST'!$AB12="MAR",'[1]LMP IN MST'!$AB12="")),'[1]LMP IN PPT'!N14,IF(AND('[1]LMP IN PPT'!$A14='[1]LMP IN MST'!$A12,'[1]LMP IN MST'!$Z12="DST",'[1]LMP IN MST'!$AA12="FB",'[1]LMP IN MST'!$AB12="NOV"),'[1]LMP IN PPT'!O14,IF(AND('[1]LMP IN PPT'!$A14='[1]LMP IN MST'!$A12,'[1]LMP IN MST'!$Z12="ST",'[1]LMP IN MST'!$AA12="NORM",'[1]LMP IN MST'!$AB12="NOV"),'[1]LMP IN PPT'!O14,IF(AND('[1]LMP IN PPT'!$A14='[1]LMP IN MST'!$A12,'[1]LMP IN MST'!$Z12="DST",'[1]LMP IN MST'!$AA12="SF",'[1]LMP IN MST'!$AB12="MAR"),'[1]LMP IN PPT'!O14,IF(AND('[1]LMP IN PPT'!$A14='[1]LMP IN MST'!$A12,'[1]LMP IN MST'!$Z12="DST",'[1]LMP IN MST'!$AA12="NORM",'[1]LMP IN MST'!$AB12="NOV"),'[1]LMP IN PPT'!P14,IF(AND('[1]LMP IN PPT'!$A14='[1]LMP IN MST'!$A12,'[1]LMP IN MST'!$Z12="DST",'[1]LMP IN MST'!$AA12="NORM",OR('[1]LMP IN MST'!$AB12="MAR",'[1]LMP IN MST'!$AB12="")),'[1]LMP IN PPT'!O14,0))))))</f>
        <v>-16.617619999999999</v>
      </c>
      <c r="M12">
        <f>IF(AND('[1]LMP IN PPT'!$A14='[1]LMP IN MST'!$A12,'[1]LMP IN MST'!$Z12="ST",'[1]LMP IN MST'!$AA12="NORM",OR('[1]LMP IN MST'!$AB12="MAR",'[1]LMP IN MST'!$AB12="")),'[1]LMP IN PPT'!O14,IF(AND('[1]LMP IN PPT'!$A14='[1]LMP IN MST'!$A12,'[1]LMP IN MST'!$Z12="DST",'[1]LMP IN MST'!$AA12="FB",'[1]LMP IN MST'!$AB12="NOV"),'[1]LMP IN PPT'!P14,IF(AND('[1]LMP IN PPT'!$A14='[1]LMP IN MST'!$A12,'[1]LMP IN MST'!$Z12="ST",'[1]LMP IN MST'!$AA12="NORM",'[1]LMP IN MST'!$AB12="NOV"),'[1]LMP IN PPT'!P14,IF(AND('[1]LMP IN PPT'!$A14='[1]LMP IN MST'!$A12,'[1]LMP IN MST'!$Z12="DST",'[1]LMP IN MST'!$AA12="SF",'[1]LMP IN MST'!$AB12="MAR"),'[1]LMP IN PPT'!P14,IF(AND('[1]LMP IN PPT'!$A14='[1]LMP IN MST'!$A12,'[1]LMP IN MST'!$Z12="DST",'[1]LMP IN MST'!$AA12="NORM",'[1]LMP IN MST'!$AB12="NOV"),'[1]LMP IN PPT'!Q14,IF(AND('[1]LMP IN PPT'!$A14='[1]LMP IN MST'!$A12,'[1]LMP IN MST'!$Z12="DST",'[1]LMP IN MST'!$AA12="NORM",OR('[1]LMP IN MST'!$AB12="MAR",'[1]LMP IN MST'!$AB12="")),'[1]LMP IN PPT'!P14,0))))))</f>
        <v>-24.069469999999999</v>
      </c>
      <c r="N12">
        <f>IF(AND('[1]LMP IN PPT'!$A14='[1]LMP IN MST'!$A12,'[1]LMP IN MST'!$Z12="ST",'[1]LMP IN MST'!$AA12="NORM",OR('[1]LMP IN MST'!$AB12="MAR",'[1]LMP IN MST'!$AB12="")),'[1]LMP IN PPT'!P14,IF(AND('[1]LMP IN PPT'!$A14='[1]LMP IN MST'!$A12,'[1]LMP IN MST'!$Z12="DST",'[1]LMP IN MST'!$AA12="FB",'[1]LMP IN MST'!$AB12="NOV"),'[1]LMP IN PPT'!Q14,IF(AND('[1]LMP IN PPT'!$A14='[1]LMP IN MST'!$A12,'[1]LMP IN MST'!$Z12="ST",'[1]LMP IN MST'!$AA12="NORM",'[1]LMP IN MST'!$AB12="NOV"),'[1]LMP IN PPT'!Q14,IF(AND('[1]LMP IN PPT'!$A14='[1]LMP IN MST'!$A12,'[1]LMP IN MST'!$Z12="DST",'[1]LMP IN MST'!$AA12="SF",'[1]LMP IN MST'!$AB12="MAR"),'[1]LMP IN PPT'!Q14,IF(AND('[1]LMP IN PPT'!$A14='[1]LMP IN MST'!$A12,'[1]LMP IN MST'!$Z12="DST",'[1]LMP IN MST'!$AA12="NORM",'[1]LMP IN MST'!$AB12="NOV"),'[1]LMP IN PPT'!R14,IF(AND('[1]LMP IN PPT'!$A14='[1]LMP IN MST'!$A12,'[1]LMP IN MST'!$Z12="DST",'[1]LMP IN MST'!$AA12="NORM",OR('[1]LMP IN MST'!$AB12="MAR",'[1]LMP IN MST'!$AB12="")),'[1]LMP IN PPT'!Q14,0))))))</f>
        <v>-24.75104</v>
      </c>
      <c r="O12">
        <f>IF(AND('[1]LMP IN PPT'!$A14='[1]LMP IN MST'!$A12,'[1]LMP IN MST'!$Z12="ST",'[1]LMP IN MST'!$AA12="NORM",OR('[1]LMP IN MST'!$AB12="MAR",'[1]LMP IN MST'!$AB12="")),'[1]LMP IN PPT'!Q14,IF(AND('[1]LMP IN PPT'!$A14='[1]LMP IN MST'!$A12,'[1]LMP IN MST'!$Z12="DST",'[1]LMP IN MST'!$AA12="FB",'[1]LMP IN MST'!$AB12="NOV"),'[1]LMP IN PPT'!R14,IF(AND('[1]LMP IN PPT'!$A14='[1]LMP IN MST'!$A12,'[1]LMP IN MST'!$Z12="ST",'[1]LMP IN MST'!$AA12="NORM",'[1]LMP IN MST'!$AB12="NOV"),'[1]LMP IN PPT'!R14,IF(AND('[1]LMP IN PPT'!$A14='[1]LMP IN MST'!$A12,'[1]LMP IN MST'!$Z12="DST",'[1]LMP IN MST'!$AA12="SF",'[1]LMP IN MST'!$AB12="MAR"),'[1]LMP IN PPT'!R14,IF(AND('[1]LMP IN PPT'!$A14='[1]LMP IN MST'!$A12,'[1]LMP IN MST'!$Z12="DST",'[1]LMP IN MST'!$AA12="NORM",'[1]LMP IN MST'!$AB12="NOV"),'[1]LMP IN PPT'!S14,IF(AND('[1]LMP IN PPT'!$A14='[1]LMP IN MST'!$A12,'[1]LMP IN MST'!$Z12="DST",'[1]LMP IN MST'!$AA12="NORM",OR('[1]LMP IN MST'!$AB12="MAR",'[1]LMP IN MST'!$AB12="")),'[1]LMP IN PPT'!R14,0))))))</f>
        <v>-28.6662</v>
      </c>
      <c r="P12">
        <f>IF(AND('[1]LMP IN PPT'!$A14='[1]LMP IN MST'!$A12,'[1]LMP IN MST'!$Z12="ST",'[1]LMP IN MST'!$AA12="NORM",OR('[1]LMP IN MST'!$AB12="MAR",'[1]LMP IN MST'!$AB12="")),'[1]LMP IN PPT'!R14,IF(AND('[1]LMP IN PPT'!$A14='[1]LMP IN MST'!$A12,'[1]LMP IN MST'!$Z12="DST",'[1]LMP IN MST'!$AA12="FB",'[1]LMP IN MST'!$AB12="NOV"),'[1]LMP IN PPT'!S14,IF(AND('[1]LMP IN PPT'!$A14='[1]LMP IN MST'!$A12,'[1]LMP IN MST'!$Z12="ST",'[1]LMP IN MST'!$AA12="NORM",'[1]LMP IN MST'!$AB12="NOV"),'[1]LMP IN PPT'!S14,IF(AND('[1]LMP IN PPT'!$A14='[1]LMP IN MST'!$A12,'[1]LMP IN MST'!$Z12="DST",'[1]LMP IN MST'!$AA12="SF",'[1]LMP IN MST'!$AB12="MAR"),'[1]LMP IN PPT'!S14,IF(AND('[1]LMP IN PPT'!$A14='[1]LMP IN MST'!$A12,'[1]LMP IN MST'!$Z12="DST",'[1]LMP IN MST'!$AA12="NORM",'[1]LMP IN MST'!$AB12="NOV"),'[1]LMP IN PPT'!T14,IF(AND('[1]LMP IN PPT'!$A14='[1]LMP IN MST'!$A12,'[1]LMP IN MST'!$Z12="DST",'[1]LMP IN MST'!$AA12="NORM",OR('[1]LMP IN MST'!$AB12="MAR",'[1]LMP IN MST'!$AB12="")),'[1]LMP IN PPT'!S14,0))))))</f>
        <v>-29.32751</v>
      </c>
      <c r="Q12">
        <f>IF(AND('[1]LMP IN PPT'!$A14='[1]LMP IN MST'!$A12,'[1]LMP IN MST'!$Z12="ST",'[1]LMP IN MST'!$AA12="NORM",OR('[1]LMP IN MST'!$AB12="MAR",'[1]LMP IN MST'!$AB12="")),'[1]LMP IN PPT'!S14,IF(AND('[1]LMP IN PPT'!$A14='[1]LMP IN MST'!$A12,'[1]LMP IN MST'!$Z12="DST",'[1]LMP IN MST'!$AA12="FB",'[1]LMP IN MST'!$AB12="NOV"),'[1]LMP IN PPT'!T14,IF(AND('[1]LMP IN PPT'!$A14='[1]LMP IN MST'!$A12,'[1]LMP IN MST'!$Z12="ST",'[1]LMP IN MST'!$AA12="NORM",'[1]LMP IN MST'!$AB12="NOV"),'[1]LMP IN PPT'!T14,IF(AND('[1]LMP IN PPT'!$A14='[1]LMP IN MST'!$A12,'[1]LMP IN MST'!$Z12="DST",'[1]LMP IN MST'!$AA12="SF",'[1]LMP IN MST'!$AB12="MAR"),'[1]LMP IN PPT'!T14,IF(AND('[1]LMP IN PPT'!$A14='[1]LMP IN MST'!$A12,'[1]LMP IN MST'!$Z12="DST",'[1]LMP IN MST'!$AA12="NORM",'[1]LMP IN MST'!$AB12="NOV"),'[1]LMP IN PPT'!U14,IF(AND('[1]LMP IN PPT'!$A14='[1]LMP IN MST'!$A12,'[1]LMP IN MST'!$Z12="DST",'[1]LMP IN MST'!$AA12="NORM",OR('[1]LMP IN MST'!$AB12="MAR",'[1]LMP IN MST'!$AB12="")),'[1]LMP IN PPT'!T14,0))))))</f>
        <v>-27.97148</v>
      </c>
      <c r="R12">
        <f>IF(AND('[1]LMP IN PPT'!$A14='[1]LMP IN MST'!$A12,'[1]LMP IN MST'!$Z12="ST",'[1]LMP IN MST'!$AA12="NORM",OR('[1]LMP IN MST'!$AB12="MAR",'[1]LMP IN MST'!$AB12="")),'[1]LMP IN PPT'!T14,IF(AND('[1]LMP IN PPT'!$A14='[1]LMP IN MST'!$A12,'[1]LMP IN MST'!$Z12="DST",'[1]LMP IN MST'!$AA12="FB",'[1]LMP IN MST'!$AB12="NOV"),'[1]LMP IN PPT'!U14,IF(AND('[1]LMP IN PPT'!$A14='[1]LMP IN MST'!$A12,'[1]LMP IN MST'!$Z12="ST",'[1]LMP IN MST'!$AA12="NORM",'[1]LMP IN MST'!$AB12="NOV"),'[1]LMP IN PPT'!U14,IF(AND('[1]LMP IN PPT'!$A14='[1]LMP IN MST'!$A12,'[1]LMP IN MST'!$Z12="DST",'[1]LMP IN MST'!$AA12="SF",'[1]LMP IN MST'!$AB12="MAR"),'[1]LMP IN PPT'!U14,IF(AND('[1]LMP IN PPT'!$A14='[1]LMP IN MST'!$A12,'[1]LMP IN MST'!$Z12="DST",'[1]LMP IN MST'!$AA12="NORM",'[1]LMP IN MST'!$AB12="NOV"),'[1]LMP IN PPT'!V14,IF(AND('[1]LMP IN PPT'!$A14='[1]LMP IN MST'!$A12,'[1]LMP IN MST'!$Z12="DST",'[1]LMP IN MST'!$AA12="NORM",OR('[1]LMP IN MST'!$AB12="MAR",'[1]LMP IN MST'!$AB12="")),'[1]LMP IN PPT'!U14,0))))))</f>
        <v>-21.136659999999999</v>
      </c>
      <c r="S12">
        <f>IF(AND('[1]LMP IN PPT'!$A14='[1]LMP IN MST'!$A12,'[1]LMP IN MST'!$Z12="ST",'[1]LMP IN MST'!$AA12="NORM",OR('[1]LMP IN MST'!$AB12="MAR",'[1]LMP IN MST'!$AB12="")),'[1]LMP IN PPT'!U14,IF(AND('[1]LMP IN PPT'!$A14='[1]LMP IN MST'!$A12,'[1]LMP IN MST'!$Z12="DST",'[1]LMP IN MST'!$AA12="FB",'[1]LMP IN MST'!$AB12="NOV"),'[1]LMP IN PPT'!V14,IF(AND('[1]LMP IN PPT'!$A14='[1]LMP IN MST'!$A12,'[1]LMP IN MST'!$Z12="ST",'[1]LMP IN MST'!$AA12="NORM",'[1]LMP IN MST'!$AB12="NOV"),'[1]LMP IN PPT'!V14,IF(AND('[1]LMP IN PPT'!$A14='[1]LMP IN MST'!$A12,'[1]LMP IN MST'!$Z12="DST",'[1]LMP IN MST'!$AA12="SF",'[1]LMP IN MST'!$AB12="MAR"),'[1]LMP IN PPT'!V14,IF(AND('[1]LMP IN PPT'!$A14='[1]LMP IN MST'!$A12,'[1]LMP IN MST'!$Z12="DST",'[1]LMP IN MST'!$AA12="NORM",'[1]LMP IN MST'!$AB12="NOV"),'[1]LMP IN PPT'!W14,IF(AND('[1]LMP IN PPT'!$A14='[1]LMP IN MST'!$A12,'[1]LMP IN MST'!$Z12="DST",'[1]LMP IN MST'!$AA12="NORM",OR('[1]LMP IN MST'!$AB12="MAR",'[1]LMP IN MST'!$AB12="")),'[1]LMP IN PPT'!V14,0))))))</f>
        <v>6.0555599999999998</v>
      </c>
      <c r="T12">
        <f>IF(AND('[1]LMP IN PPT'!$A14='[1]LMP IN MST'!$A12,'[1]LMP IN MST'!$Z12="ST",'[1]LMP IN MST'!$AA12="NORM",OR('[1]LMP IN MST'!$AB12="MAR",'[1]LMP IN MST'!$AB12="")),'[1]LMP IN PPT'!V14,IF(AND('[1]LMP IN PPT'!$A14='[1]LMP IN MST'!$A12,'[1]LMP IN MST'!$Z12="DST",'[1]LMP IN MST'!$AA12="FB",'[1]LMP IN MST'!$AB12="NOV"),'[1]LMP IN PPT'!W14,IF(AND('[1]LMP IN PPT'!$A14='[1]LMP IN MST'!$A12,'[1]LMP IN MST'!$Z12="ST",'[1]LMP IN MST'!$AA12="NORM",'[1]LMP IN MST'!$AB12="NOV"),'[1]LMP IN PPT'!W14,IF(AND('[1]LMP IN PPT'!$A14='[1]LMP IN MST'!$A12,'[1]LMP IN MST'!$Z12="DST",'[1]LMP IN MST'!$AA12="SF",'[1]LMP IN MST'!$AB12="MAR"),'[1]LMP IN PPT'!W14,IF(AND('[1]LMP IN PPT'!$A14='[1]LMP IN MST'!$A12,'[1]LMP IN MST'!$Z12="DST",'[1]LMP IN MST'!$AA12="NORM",'[1]LMP IN MST'!$AB12="NOV"),'[1]LMP IN PPT'!X14,IF(AND('[1]LMP IN PPT'!$A14='[1]LMP IN MST'!$A12,'[1]LMP IN MST'!$Z12="DST",'[1]LMP IN MST'!$AA12="NORM",OR('[1]LMP IN MST'!$AB12="MAR",'[1]LMP IN MST'!$AB12="")),'[1]LMP IN PPT'!W14,0))))))</f>
        <v>42.547249999999998</v>
      </c>
      <c r="U12">
        <f>IF(AND('[1]LMP IN PPT'!$A14='[1]LMP IN MST'!$A12,'[1]LMP IN MST'!$Z12="ST",'[1]LMP IN MST'!$AA12="NORM",OR('[1]LMP IN MST'!$AB12="MAR",'[1]LMP IN MST'!$AB12="")),'[1]LMP IN PPT'!W14,IF(AND('[1]LMP IN PPT'!$A14='[1]LMP IN MST'!$A12,'[1]LMP IN MST'!$Z12="DST",'[1]LMP IN MST'!$AA12="FB",'[1]LMP IN MST'!$AB12="NOV"),'[1]LMP IN PPT'!X14,IF(AND('[1]LMP IN PPT'!$A14='[1]LMP IN MST'!$A12,'[1]LMP IN MST'!$Z12="ST",'[1]LMP IN MST'!$AA12="NORM",'[1]LMP IN MST'!$AB12="NOV"),'[1]LMP IN PPT'!X14,IF(AND('[1]LMP IN PPT'!$A14='[1]LMP IN MST'!$A12,'[1]LMP IN MST'!$Z12="DST",'[1]LMP IN MST'!$AA12="SF",'[1]LMP IN MST'!$AB12="MAR"),'[1]LMP IN PPT'!X14,IF(AND('[1]LMP IN PPT'!$A14='[1]LMP IN MST'!$A12,'[1]LMP IN MST'!$Z12="DST",'[1]LMP IN MST'!$AA12="NORM",'[1]LMP IN MST'!$AB12="NOV"),'[1]LMP IN PPT'!Y14,IF(AND('[1]LMP IN PPT'!$A14='[1]LMP IN MST'!$A12,'[1]LMP IN MST'!$Z12="DST",'[1]LMP IN MST'!$AA12="NORM",OR('[1]LMP IN MST'!$AB12="MAR",'[1]LMP IN MST'!$AB12="")),'[1]LMP IN PPT'!X14,0))))))</f>
        <v>46.526519999999998</v>
      </c>
      <c r="V12">
        <f>IF(AND('[1]LMP IN PPT'!$A14='[1]LMP IN MST'!$A12,'[1]LMP IN MST'!$Z12="ST",'[1]LMP IN MST'!$AA12="NORM",OR('[1]LMP IN MST'!$AB12="MAR",'[1]LMP IN MST'!$AB12="")),'[1]LMP IN PPT'!X14,IF(AND('[1]LMP IN PPT'!$A14='[1]LMP IN MST'!$A12,'[1]LMP IN MST'!$Z12="DST",'[1]LMP IN MST'!$AA12="FB",'[1]LMP IN MST'!$AB12="NOV"),'[1]LMP IN PPT'!Y14,IF(AND('[1]LMP IN PPT'!$A14='[1]LMP IN MST'!$A12,'[1]LMP IN MST'!$Z12="ST",'[1]LMP IN MST'!$AA12="NORM",'[1]LMP IN MST'!$AB12="NOV"),'[1]LMP IN PPT'!Y14,IF(AND('[1]LMP IN PPT'!$A14='[1]LMP IN MST'!$A12,'[1]LMP IN MST'!$Z12="DST",'[1]LMP IN MST'!$AA12="SF",'[1]LMP IN MST'!$AB12="MAR"),'[1]LMP IN PPT'!Y14,IF(AND('[1]LMP IN PPT'!$A14='[1]LMP IN MST'!$A12,'[1]LMP IN MST'!$Z12="DST",'[1]LMP IN MST'!$AA12="NORM",'[1]LMP IN MST'!$AB12="NOV"),'[1]LMP IN PPT'!Z14,IF(AND('[1]LMP IN PPT'!$A14='[1]LMP IN MST'!$A12,'[1]LMP IN MST'!$Z12="DST",'[1]LMP IN MST'!$AA12="NORM",OR('[1]LMP IN MST'!$AB12="MAR",'[1]LMP IN MST'!$AB12="")),'[1]LMP IN PPT'!Y14,0))))))</f>
        <v>44.727400000000003</v>
      </c>
      <c r="W12">
        <f>IF(AND('[1]LMP IN PPT'!$A14='[1]LMP IN MST'!$A12,'[1]LMP IN MST'!$Z12="ST",'[1]LMP IN MST'!$AA12="NORM",OR('[1]LMP IN MST'!$AB12="MAR",'[1]LMP IN MST'!$AB12="")),'[1]LMP IN PPT'!Y14,IF(AND('[1]LMP IN PPT'!$A14='[1]LMP IN MST'!$A12,'[1]LMP IN MST'!$Z12="DST",'[1]LMP IN MST'!$AA12="FB",'[1]LMP IN MST'!$AB12="NOV"),'[1]LMP IN PPT'!Z14,IF(AND('[1]LMP IN PPT'!$A14='[1]LMP IN MST'!$A12,'[1]LMP IN MST'!$Z12="ST",'[1]LMP IN MST'!$AA12="NORM",'[1]LMP IN MST'!$AB12="NOV"),'[1]LMP IN PPT'!Z14,IF(AND('[1]LMP IN PPT'!$A14='[1]LMP IN MST'!$A12,'[1]LMP IN MST'!$Z12="DST",'[1]LMP IN MST'!$AA12="SF",'[1]LMP IN MST'!$AB12="MAR"),'[1]LMP IN PPT'!Z14,IF(AND('[1]LMP IN PPT'!$A14='[1]LMP IN MST'!$A12,'[1]LMP IN MST'!$Z12="DST",'[1]LMP IN MST'!$AA12="NORM",'[1]LMP IN MST'!$AB12="NOV"),'[1]LMP IN PPT'!AA14,IF(AND('[1]LMP IN PPT'!$A14='[1]LMP IN MST'!$A12,'[1]LMP IN MST'!$Z12="DST",'[1]LMP IN MST'!$AA12="NORM",OR('[1]LMP IN MST'!$AB12="MAR",'[1]LMP IN MST'!$AB12="")),'[1]LMP IN PPT'!Z14,0))))))</f>
        <v>43.331569999999999</v>
      </c>
      <c r="X12">
        <f>IF(AND('[1]LMP IN PPT'!$A14='[1]LMP IN MST'!$A12,'[1]LMP IN MST'!$Z12="ST",'[1]LMP IN MST'!$AA12="NORM",OR('[1]LMP IN MST'!$AB12="MAR",'[1]LMP IN MST'!$AB12="")),'[1]LMP IN PPT'!Z14,IF(AND('[1]LMP IN PPT'!$A14='[1]LMP IN MST'!$A12,'[1]LMP IN MST'!$Z12="DST",'[1]LMP IN MST'!$AA12="FB",'[1]LMP IN MST'!$AB12="NOV"),'[1]LMP IN PPT'!AA14,IF(AND('[1]LMP IN PPT'!$A14='[1]LMP IN MST'!$A12,'[1]LMP IN MST'!$Z12="ST",'[1]LMP IN MST'!$AA12="NORM",'[1]LMP IN MST'!$AB12="NOV"),'[1]LMP IN PPT'!AA14,IF(AND('[1]LMP IN PPT'!$A14='[1]LMP IN MST'!$A12,'[1]LMP IN MST'!$Z12="DST",'[1]LMP IN MST'!$AA12="SF",'[1]LMP IN MST'!$AB12="MAR"),'[1]LMP IN PPT'!AA14,IF(AND('[1]LMP IN PPT'!$A14='[1]LMP IN MST'!$A12,'[1]LMP IN MST'!$Z12="DST",'[1]LMP IN MST'!$AA12="NORM",'[1]LMP IN MST'!$AB12="NOV"),'[1]LMP IN PPT'!AB14,IF(AND('[1]LMP IN PPT'!$A14='[1]LMP IN MST'!$A12,'[1]LMP IN MST'!$Z12="DST",'[1]LMP IN MST'!$AA12="NORM",OR('[1]LMP IN MST'!$AB12="MAR",'[1]LMP IN MST'!$AB12="")),'[1]LMP IN PPT'!AA14,0))))))</f>
        <v>40.083449999999999</v>
      </c>
      <c r="Y12">
        <f>IF(AND('[1]LMP IN PPT'!$A14='[1]LMP IN MST'!$A12,'[1]LMP IN MST'!$Z12="ST",'[1]LMP IN MST'!$AA12="NORM",OR('[1]LMP IN MST'!$AB12="MAR",'[1]LMP IN MST'!$AB12="")),'[1]LMP IN PPT'!AA14,IF(AND('[1]LMP IN PPT'!$A14='[1]LMP IN MST'!$A12,'[1]LMP IN MST'!$Z12="DST",'[1]LMP IN MST'!$AA12="FB",'[1]LMP IN MST'!$AB12="NOV"),'[1]LMP IN PPT'!AB14,IF(AND('[1]LMP IN PPT'!$A14='[1]LMP IN MST'!$A12,'[1]LMP IN MST'!$Z12="ST",'[1]LMP IN MST'!$AA12="NORM",'[1]LMP IN MST'!$AB12="NOV"),'[1]LMP IN PPT'!AB14,IF(AND('[1]LMP IN PPT'!$A14='[1]LMP IN MST'!$A12,'[1]LMP IN MST'!$Z12="DST",'[1]LMP IN MST'!$AA12="SF",'[1]LMP IN MST'!$AB12="MAR"),'[1]LMP IN PPT'!AB14,IF(AND('[1]LMP IN PPT'!$A14='[1]LMP IN MST'!$A12,'[1]LMP IN MST'!$Z12="DST",'[1]LMP IN MST'!$AA12="NORM",'[1]LMP IN MST'!$AB12="NOV"),'[1]LMP IN PPT'!AC14,IF(AND('[1]LMP IN PPT'!$A14='[1]LMP IN MST'!$A12,'[1]LMP IN MST'!$Z12="DST",'[1]LMP IN MST'!$AA12="NORM",OR('[1]LMP IN MST'!$AB12="MAR",'[1]LMP IN MST'!$AB12="")),'[1]LMP IN PPT'!AB14,0))))))</f>
        <v>37.11694</v>
      </c>
    </row>
    <row r="13" spans="1:25" x14ac:dyDescent="0.3">
      <c r="A13" s="1">
        <f t="shared" si="0"/>
        <v>45363</v>
      </c>
      <c r="B13">
        <f>IF(AND('[1]LMP IN PPT'!$A15='[1]LMP IN MST'!$A13,'[1]LMP IN MST'!$Z13="ST",'[1]LMP IN MST'!$AA13="NORM",'[1]LMP IN MST'!$AB13="NOV"),'[1]LMP IN PPT'!AC14,IF(AND('[1]LMP IN PPT'!$A15='[1]LMP IN MST'!$A13,'[1]LMP IN MST'!$Z13="ST",'[1]LMP IN MST'!$AA13="NORM",'[1]LMP IN MST'!$AB13="MAR"),'[1]LMP IN PPT'!AB14,IF(AND('[1]LMP IN PPT'!$A15='[1]LMP IN MST'!$A13,'[1]LMP IN MST'!$Z13="ST",'[1]LMP IN MST'!$AA13="NORM",'[1]LMP IN MST'!$AB13=""),'[1]LMP IN PPT'!AB14,IF(AND('[1]LMP IN PPT'!$A15='[1]LMP IN MST'!$A13,'[1]LMP IN MST'!$Z13="DST",'[1]LMP IN MST'!$AA13="FB",'[1]LMP IN MST'!$AB13="NOV"),'[1]LMP IN PPT'!E15,IF(AND('[1]LMP IN PPT'!$A15='[1]LMP IN MST'!$A13,'[1]LMP IN MST'!$Z13="DST",'[1]LMP IN MST'!$AA13="SF",'[1]LMP IN MST'!$AB13="MAR"),'[1]LMP IN PPT'!AB14,IF(AND('[1]LMP IN PPT'!$A15='[1]LMP IN MST'!$A13,'[1]LMP IN MST'!$Z13="DST",'[1]LMP IN MST'!$AA13="NORM",OR('[1]LMP IN MST'!$AB13="MAR",'[1]LMP IN MST'!$AB13="",'[1]LMP IN MST'!$AB13="NOV")),'[1]LMP IN PPT'!E15,0))))))</f>
        <v>27.08043</v>
      </c>
      <c r="C13">
        <f>IF(AND('[1]LMP IN PPT'!$A15='[1]LMP IN MST'!$A13,'[1]LMP IN MST'!$Z13="ST",'[1]LMP IN MST'!$AA13="NORM",OR('[1]LMP IN MST'!$AB13="NOV",'[1]LMP IN MST'!$AB13="MAR",'[1]LMP IN MST'!$AB13="")),'[1]LMP IN PPT'!E15,IF(AND('[1]LMP IN PPT'!$A15='[1]LMP IN MST'!$A13,'[1]LMP IN MST'!$Z13="DST",'[1]LMP IN MST'!$AA13="FB",'[1]LMP IN MST'!$AB13="NOV"),'[1]LMP IN PPT'!F15,IF(AND('[1]LMP IN PPT'!$A15='[1]LMP IN MST'!$A13,'[1]LMP IN MST'!$Z13="DST",'[1]LMP IN MST'!$AA13="SF",'[1]LMP IN MST'!$AB13="MAR"),'[1]LMP IN PPT'!E15,IF(AND('[1]LMP IN PPT'!$A15='[1]LMP IN MST'!$A13,'[1]LMP IN MST'!$Z13="DST",'[1]LMP IN MST'!$AA13="NORM",OR('[1]LMP IN MST'!$AB13="MAR",'[1]LMP IN MST'!$AB13="",'[1]LMP IN MST'!$AB13="NOV")),'[1]LMP IN PPT'!F15,0))))</f>
        <v>27.45879</v>
      </c>
      <c r="D13">
        <f>IF(AND('[1]LMP IN PPT'!$A15='[1]LMP IN MST'!$A13,'[1]LMP IN MST'!$Z13="ST",'[1]LMP IN MST'!$AA13="NORM",OR('[1]LMP IN MST'!$AB13="NOV",'[1]LMP IN MST'!$AB13="MAR",'[1]LMP IN MST'!$AB13="")),'[1]LMP IN PPT'!F15,IF(AND('[1]LMP IN PPT'!$A15='[1]LMP IN MST'!$A13,'[1]LMP IN MST'!$Z13="DST",'[1]LMP IN MST'!$AA13="FB",'[1]LMP IN MST'!$AB13="NOV"),'[1]LMP IN PPT'!G15,IF(AND('[1]LMP IN PPT'!$A15='[1]LMP IN MST'!$A13,'[1]LMP IN MST'!$Z13="DST",'[1]LMP IN MST'!$AA13="SF",'[1]LMP IN MST'!$AB13="MAR"),'[1]LMP IN PPT'!F15,IF(AND('[1]LMP IN PPT'!$A15='[1]LMP IN MST'!$A13,'[1]LMP IN MST'!$Z13="DST",'[1]LMP IN MST'!$AA13="NORM",'[1]LMP IN MST'!$AB13="NOV"),'[1]LMP IN PPT'!H15,IF(AND('[1]LMP IN PPT'!$A15='[1]LMP IN MST'!$A13,'[1]LMP IN MST'!$Z13="DST",'[1]LMP IN MST'!$AA13="NORM",OR('[1]LMP IN MST'!$AB13="MAR",'[1]LMP IN MST'!$AB13="")),'[1]LMP IN PPT'!G15,0)))))</f>
        <v>27.125309999999999</v>
      </c>
      <c r="E13">
        <f>IF(AND('[1]LMP IN PPT'!$A15='[1]LMP IN MST'!$A13,'[1]LMP IN MST'!$Z13="ST",'[1]LMP IN MST'!$AA13="NORM",OR('[1]LMP IN MST'!$AB13="MAR",'[1]LMP IN MST'!$AB13="")),'[1]LMP IN PPT'!G15,IF(AND('[1]LMP IN PPT'!$A15='[1]LMP IN MST'!$A13,'[1]LMP IN MST'!$Z13="DST",'[1]LMP IN MST'!$AA13="FB",'[1]LMP IN MST'!$AB13="NOV"),'[1]LMP IN PPT'!H15,IF(AND('[1]LMP IN PPT'!$A15='[1]LMP IN MST'!$A13,'[1]LMP IN MST'!$Z13="ST",'[1]LMP IN MST'!$AA13="NORM",'[1]LMP IN MST'!$AB13="NOV"),'[1]LMP IN PPT'!H15,IF(AND('[1]LMP IN PPT'!$A15='[1]LMP IN MST'!$A13,'[1]LMP IN MST'!$Z13="DST",'[1]LMP IN MST'!$AA13="SF",'[1]LMP IN MST'!$AB13="MAR"),'[1]LMP IN PPT'!H15,IF(AND('[1]LMP IN PPT'!$A15='[1]LMP IN MST'!$A13,'[1]LMP IN MST'!$Z13="DST",'[1]LMP IN MST'!$AA13="NORM",'[1]LMP IN MST'!$AB13="NOV"),'[1]LMP IN PPT'!I15,IF(AND('[1]LMP IN PPT'!$A15='[1]LMP IN MST'!$A13,'[1]LMP IN MST'!$Z13="DST",'[1]LMP IN MST'!$AA13="NORM",OR('[1]LMP IN MST'!$AB13="MAR",'[1]LMP IN MST'!$AB13="")),'[1]LMP IN PPT'!H15,0))))))</f>
        <v>27.077069999999999</v>
      </c>
      <c r="F13">
        <f>IF(AND('[1]LMP IN PPT'!$A15='[1]LMP IN MST'!$A13,'[1]LMP IN MST'!$Z13="ST",'[1]LMP IN MST'!$AA13="NORM",OR('[1]LMP IN MST'!$AB13="MAR",'[1]LMP IN MST'!$AB13="")),'[1]LMP IN PPT'!H15,IF(AND('[1]LMP IN PPT'!$A15='[1]LMP IN MST'!$A13,'[1]LMP IN MST'!$Z13="DST",'[1]LMP IN MST'!$AA13="FB",'[1]LMP IN MST'!$AB13="NOV"),'[1]LMP IN PPT'!I15,IF(AND('[1]LMP IN PPT'!$A15='[1]LMP IN MST'!$A13,'[1]LMP IN MST'!$Z13="ST",'[1]LMP IN MST'!$AA13="NORM",'[1]LMP IN MST'!$AB13="NOV"),'[1]LMP IN PPT'!I15,IF(AND('[1]LMP IN PPT'!$A15='[1]LMP IN MST'!$A13,'[1]LMP IN MST'!$Z13="DST",'[1]LMP IN MST'!$AA13="SF",'[1]LMP IN MST'!$AB13="MAR"),'[1]LMP IN PPT'!I15,IF(AND('[1]LMP IN PPT'!$A15='[1]LMP IN MST'!$A13,'[1]LMP IN MST'!$Z13="DST",'[1]LMP IN MST'!$AA13="NORM",'[1]LMP IN MST'!$AB13="NOV"),'[1]LMP IN PPT'!J15,IF(AND('[1]LMP IN PPT'!$A15='[1]LMP IN MST'!$A13,'[1]LMP IN MST'!$Z13="DST",'[1]LMP IN MST'!$AA13="NORM",OR('[1]LMP IN MST'!$AB13="MAR",'[1]LMP IN MST'!$AB13="")),'[1]LMP IN PPT'!I15,0))))))</f>
        <v>28.176860000000001</v>
      </c>
      <c r="G13">
        <f>IF(AND('[1]LMP IN PPT'!$A15='[1]LMP IN MST'!$A13,'[1]LMP IN MST'!$Z13="ST",'[1]LMP IN MST'!$AA13="NORM",OR('[1]LMP IN MST'!$AB13="MAR",'[1]LMP IN MST'!$AB13="")),'[1]LMP IN PPT'!I15,IF(AND('[1]LMP IN PPT'!$A15='[1]LMP IN MST'!$A13,'[1]LMP IN MST'!$Z13="DST",'[1]LMP IN MST'!$AA13="FB",'[1]LMP IN MST'!$AB13="NOV"),'[1]LMP IN PPT'!J15,IF(AND('[1]LMP IN PPT'!$A15='[1]LMP IN MST'!$A13,'[1]LMP IN MST'!$Z13="ST",'[1]LMP IN MST'!$AA13="NORM",'[1]LMP IN MST'!$AB13="NOV"),'[1]LMP IN PPT'!J15,IF(AND('[1]LMP IN PPT'!$A15='[1]LMP IN MST'!$A13,'[1]LMP IN MST'!$Z13="DST",'[1]LMP IN MST'!$AA13="SF",'[1]LMP IN MST'!$AB13="MAR"),'[1]LMP IN PPT'!J15,IF(AND('[1]LMP IN PPT'!$A15='[1]LMP IN MST'!$A13,'[1]LMP IN MST'!$Z13="DST",'[1]LMP IN MST'!$AA13="NORM",'[1]LMP IN MST'!$AB13="NOV"),'[1]LMP IN PPT'!K15,IF(AND('[1]LMP IN PPT'!$A15='[1]LMP IN MST'!$A13,'[1]LMP IN MST'!$Z13="DST",'[1]LMP IN MST'!$AA13="NORM",OR('[1]LMP IN MST'!$AB13="MAR",'[1]LMP IN MST'!$AB13="")),'[1]LMP IN PPT'!J15,0))))))</f>
        <v>31.32996</v>
      </c>
      <c r="H13">
        <f>IF(AND('[1]LMP IN PPT'!$A15='[1]LMP IN MST'!$A13,'[1]LMP IN MST'!$Z13="ST",'[1]LMP IN MST'!$AA13="NORM",OR('[1]LMP IN MST'!$AB13="MAR",'[1]LMP IN MST'!$AB13="")),'[1]LMP IN PPT'!J15,IF(AND('[1]LMP IN PPT'!$A15='[1]LMP IN MST'!$A13,'[1]LMP IN MST'!$Z13="DST",'[1]LMP IN MST'!$AA13="FB",'[1]LMP IN MST'!$AB13="NOV"),'[1]LMP IN PPT'!K15,IF(AND('[1]LMP IN PPT'!$A15='[1]LMP IN MST'!$A13,'[1]LMP IN MST'!$Z13="ST",'[1]LMP IN MST'!$AA13="NORM",'[1]LMP IN MST'!$AB13="NOV"),'[1]LMP IN PPT'!K15,IF(AND('[1]LMP IN PPT'!$A15='[1]LMP IN MST'!$A13,'[1]LMP IN MST'!$Z13="DST",'[1]LMP IN MST'!$AA13="SF",'[1]LMP IN MST'!$AB13="MAR"),'[1]LMP IN PPT'!K15,IF(AND('[1]LMP IN PPT'!$A15='[1]LMP IN MST'!$A13,'[1]LMP IN MST'!$Z13="DST",'[1]LMP IN MST'!$AA13="NORM",'[1]LMP IN MST'!$AB13="NOV"),'[1]LMP IN PPT'!L15,IF(AND('[1]LMP IN PPT'!$A15='[1]LMP IN MST'!$A13,'[1]LMP IN MST'!$Z13="DST",'[1]LMP IN MST'!$AA13="NORM",OR('[1]LMP IN MST'!$AB13="MAR",'[1]LMP IN MST'!$AB13="")),'[1]LMP IN PPT'!K15,0))))))</f>
        <v>41.690130000000003</v>
      </c>
      <c r="I13">
        <f>IF(AND('[1]LMP IN PPT'!$A15='[1]LMP IN MST'!$A13,'[1]LMP IN MST'!$Z13="ST",'[1]LMP IN MST'!$AA13="NORM",OR('[1]LMP IN MST'!$AB13="MAR",'[1]LMP IN MST'!$AB13="")),'[1]LMP IN PPT'!K15,IF(AND('[1]LMP IN PPT'!$A15='[1]LMP IN MST'!$A13,'[1]LMP IN MST'!$Z13="DST",'[1]LMP IN MST'!$AA13="FB",'[1]LMP IN MST'!$AB13="NOV"),'[1]LMP IN PPT'!L15,IF(AND('[1]LMP IN PPT'!$A15='[1]LMP IN MST'!$A13,'[1]LMP IN MST'!$Z13="ST",'[1]LMP IN MST'!$AA13="NORM",'[1]LMP IN MST'!$AB13="NOV"),'[1]LMP IN PPT'!L15,IF(AND('[1]LMP IN PPT'!$A15='[1]LMP IN MST'!$A13,'[1]LMP IN MST'!$Z13="DST",'[1]LMP IN MST'!$AA13="SF",'[1]LMP IN MST'!$AB13="MAR"),'[1]LMP IN PPT'!L15,IF(AND('[1]LMP IN PPT'!$A15='[1]LMP IN MST'!$A13,'[1]LMP IN MST'!$Z13="DST",'[1]LMP IN MST'!$AA13="NORM",'[1]LMP IN MST'!$AB13="NOV"),'[1]LMP IN PPT'!M15,IF(AND('[1]LMP IN PPT'!$A15='[1]LMP IN MST'!$A13,'[1]LMP IN MST'!$Z13="DST",'[1]LMP IN MST'!$AA13="NORM",OR('[1]LMP IN MST'!$AB13="MAR",'[1]LMP IN MST'!$AB13="")),'[1]LMP IN PPT'!L15,0))))))</f>
        <v>41.654600000000002</v>
      </c>
      <c r="J13">
        <f>IF(AND('[1]LMP IN PPT'!$A15='[1]LMP IN MST'!$A13,'[1]LMP IN MST'!$Z13="ST",'[1]LMP IN MST'!$AA13="NORM",OR('[1]LMP IN MST'!$AB13="MAR",'[1]LMP IN MST'!$AB13="")),'[1]LMP IN PPT'!L15,IF(AND('[1]LMP IN PPT'!$A15='[1]LMP IN MST'!$A13,'[1]LMP IN MST'!$Z13="DST",'[1]LMP IN MST'!$AA13="FB",'[1]LMP IN MST'!$AB13="NOV"),'[1]LMP IN PPT'!M15,IF(AND('[1]LMP IN PPT'!$A15='[1]LMP IN MST'!$A13,'[1]LMP IN MST'!$Z13="ST",'[1]LMP IN MST'!$AA13="NORM",'[1]LMP IN MST'!$AB13="NOV"),'[1]LMP IN PPT'!M15,IF(AND('[1]LMP IN PPT'!$A15='[1]LMP IN MST'!$A13,'[1]LMP IN MST'!$Z13="DST",'[1]LMP IN MST'!$AA13="SF",'[1]LMP IN MST'!$AB13="MAR"),'[1]LMP IN PPT'!M15,IF(AND('[1]LMP IN PPT'!$A15='[1]LMP IN MST'!$A13,'[1]LMP IN MST'!$Z13="DST",'[1]LMP IN MST'!$AA13="NORM",'[1]LMP IN MST'!$AB13="NOV"),'[1]LMP IN PPT'!N15,IF(AND('[1]LMP IN PPT'!$A15='[1]LMP IN MST'!$A13,'[1]LMP IN MST'!$Z13="DST",'[1]LMP IN MST'!$AA13="NORM",OR('[1]LMP IN MST'!$AB13="MAR",'[1]LMP IN MST'!$AB13="")),'[1]LMP IN PPT'!M15,0))))))</f>
        <v>14.872109999999999</v>
      </c>
      <c r="K13">
        <f>IF(AND('[1]LMP IN PPT'!$A15='[1]LMP IN MST'!$A13,'[1]LMP IN MST'!$Z13="ST",'[1]LMP IN MST'!$AA13="NORM",OR('[1]LMP IN MST'!$AB13="MAR",'[1]LMP IN MST'!$AB13="")),'[1]LMP IN PPT'!M15,IF(AND('[1]LMP IN PPT'!$A15='[1]LMP IN MST'!$A13,'[1]LMP IN MST'!$Z13="DST",'[1]LMP IN MST'!$AA13="FB",'[1]LMP IN MST'!$AB13="NOV"),'[1]LMP IN PPT'!N15,IF(AND('[1]LMP IN PPT'!$A15='[1]LMP IN MST'!$A13,'[1]LMP IN MST'!$Z13="ST",'[1]LMP IN MST'!$AA13="NORM",'[1]LMP IN MST'!$AB13="NOV"),'[1]LMP IN PPT'!N15,IF(AND('[1]LMP IN PPT'!$A15='[1]LMP IN MST'!$A13,'[1]LMP IN MST'!$Z13="DST",'[1]LMP IN MST'!$AA13="SF",'[1]LMP IN MST'!$AB13="MAR"),'[1]LMP IN PPT'!N15,IF(AND('[1]LMP IN PPT'!$A15='[1]LMP IN MST'!$A13,'[1]LMP IN MST'!$Z13="DST",'[1]LMP IN MST'!$AA13="NORM",'[1]LMP IN MST'!$AB13="NOV"),'[1]LMP IN PPT'!O15,IF(AND('[1]LMP IN PPT'!$A15='[1]LMP IN MST'!$A13,'[1]LMP IN MST'!$Z13="DST",'[1]LMP IN MST'!$AA13="NORM",OR('[1]LMP IN MST'!$AB13="MAR",'[1]LMP IN MST'!$AB13="")),'[1]LMP IN PPT'!N15,0))))))</f>
        <v>0.88880000000000003</v>
      </c>
      <c r="L13">
        <f>IF(AND('[1]LMP IN PPT'!$A15='[1]LMP IN MST'!$A13,'[1]LMP IN MST'!$Z13="ST",'[1]LMP IN MST'!$AA13="NORM",OR('[1]LMP IN MST'!$AB13="MAR",'[1]LMP IN MST'!$AB13="")),'[1]LMP IN PPT'!N15,IF(AND('[1]LMP IN PPT'!$A15='[1]LMP IN MST'!$A13,'[1]LMP IN MST'!$Z13="DST",'[1]LMP IN MST'!$AA13="FB",'[1]LMP IN MST'!$AB13="NOV"),'[1]LMP IN PPT'!O15,IF(AND('[1]LMP IN PPT'!$A15='[1]LMP IN MST'!$A13,'[1]LMP IN MST'!$Z13="ST",'[1]LMP IN MST'!$AA13="NORM",'[1]LMP IN MST'!$AB13="NOV"),'[1]LMP IN PPT'!O15,IF(AND('[1]LMP IN PPT'!$A15='[1]LMP IN MST'!$A13,'[1]LMP IN MST'!$Z13="DST",'[1]LMP IN MST'!$AA13="SF",'[1]LMP IN MST'!$AB13="MAR"),'[1]LMP IN PPT'!O15,IF(AND('[1]LMP IN PPT'!$A15='[1]LMP IN MST'!$A13,'[1]LMP IN MST'!$Z13="DST",'[1]LMP IN MST'!$AA13="NORM",'[1]LMP IN MST'!$AB13="NOV"),'[1]LMP IN PPT'!P15,IF(AND('[1]LMP IN PPT'!$A15='[1]LMP IN MST'!$A13,'[1]LMP IN MST'!$Z13="DST",'[1]LMP IN MST'!$AA13="NORM",OR('[1]LMP IN MST'!$AB13="MAR",'[1]LMP IN MST'!$AB13="")),'[1]LMP IN PPT'!O15,0))))))</f>
        <v>-6.5972600000000003</v>
      </c>
      <c r="M13">
        <f>IF(AND('[1]LMP IN PPT'!$A15='[1]LMP IN MST'!$A13,'[1]LMP IN MST'!$Z13="ST",'[1]LMP IN MST'!$AA13="NORM",OR('[1]LMP IN MST'!$AB13="MAR",'[1]LMP IN MST'!$AB13="")),'[1]LMP IN PPT'!O15,IF(AND('[1]LMP IN PPT'!$A15='[1]LMP IN MST'!$A13,'[1]LMP IN MST'!$Z13="DST",'[1]LMP IN MST'!$AA13="FB",'[1]LMP IN MST'!$AB13="NOV"),'[1]LMP IN PPT'!P15,IF(AND('[1]LMP IN PPT'!$A15='[1]LMP IN MST'!$A13,'[1]LMP IN MST'!$Z13="ST",'[1]LMP IN MST'!$AA13="NORM",'[1]LMP IN MST'!$AB13="NOV"),'[1]LMP IN PPT'!P15,IF(AND('[1]LMP IN PPT'!$A15='[1]LMP IN MST'!$A13,'[1]LMP IN MST'!$Z13="DST",'[1]LMP IN MST'!$AA13="SF",'[1]LMP IN MST'!$AB13="MAR"),'[1]LMP IN PPT'!P15,IF(AND('[1]LMP IN PPT'!$A15='[1]LMP IN MST'!$A13,'[1]LMP IN MST'!$Z13="DST",'[1]LMP IN MST'!$AA13="NORM",'[1]LMP IN MST'!$AB13="NOV"),'[1]LMP IN PPT'!Q15,IF(AND('[1]LMP IN PPT'!$A15='[1]LMP IN MST'!$A13,'[1]LMP IN MST'!$Z13="DST",'[1]LMP IN MST'!$AA13="NORM",OR('[1]LMP IN MST'!$AB13="MAR",'[1]LMP IN MST'!$AB13="")),'[1]LMP IN PPT'!P15,0))))))</f>
        <v>-10.35169</v>
      </c>
      <c r="N13">
        <f>IF(AND('[1]LMP IN PPT'!$A15='[1]LMP IN MST'!$A13,'[1]LMP IN MST'!$Z13="ST",'[1]LMP IN MST'!$AA13="NORM",OR('[1]LMP IN MST'!$AB13="MAR",'[1]LMP IN MST'!$AB13="")),'[1]LMP IN PPT'!P15,IF(AND('[1]LMP IN PPT'!$A15='[1]LMP IN MST'!$A13,'[1]LMP IN MST'!$Z13="DST",'[1]LMP IN MST'!$AA13="FB",'[1]LMP IN MST'!$AB13="NOV"),'[1]LMP IN PPT'!Q15,IF(AND('[1]LMP IN PPT'!$A15='[1]LMP IN MST'!$A13,'[1]LMP IN MST'!$Z13="ST",'[1]LMP IN MST'!$AA13="NORM",'[1]LMP IN MST'!$AB13="NOV"),'[1]LMP IN PPT'!Q15,IF(AND('[1]LMP IN PPT'!$A15='[1]LMP IN MST'!$A13,'[1]LMP IN MST'!$Z13="DST",'[1]LMP IN MST'!$AA13="SF",'[1]LMP IN MST'!$AB13="MAR"),'[1]LMP IN PPT'!Q15,IF(AND('[1]LMP IN PPT'!$A15='[1]LMP IN MST'!$A13,'[1]LMP IN MST'!$Z13="DST",'[1]LMP IN MST'!$AA13="NORM",'[1]LMP IN MST'!$AB13="NOV"),'[1]LMP IN PPT'!R15,IF(AND('[1]LMP IN PPT'!$A15='[1]LMP IN MST'!$A13,'[1]LMP IN MST'!$Z13="DST",'[1]LMP IN MST'!$AA13="NORM",OR('[1]LMP IN MST'!$AB13="MAR",'[1]LMP IN MST'!$AB13="")),'[1]LMP IN PPT'!Q15,0))))))</f>
        <v>-11.5306</v>
      </c>
      <c r="O13">
        <f>IF(AND('[1]LMP IN PPT'!$A15='[1]LMP IN MST'!$A13,'[1]LMP IN MST'!$Z13="ST",'[1]LMP IN MST'!$AA13="NORM",OR('[1]LMP IN MST'!$AB13="MAR",'[1]LMP IN MST'!$AB13="")),'[1]LMP IN PPT'!Q15,IF(AND('[1]LMP IN PPT'!$A15='[1]LMP IN MST'!$A13,'[1]LMP IN MST'!$Z13="DST",'[1]LMP IN MST'!$AA13="FB",'[1]LMP IN MST'!$AB13="NOV"),'[1]LMP IN PPT'!R15,IF(AND('[1]LMP IN PPT'!$A15='[1]LMP IN MST'!$A13,'[1]LMP IN MST'!$Z13="ST",'[1]LMP IN MST'!$AA13="NORM",'[1]LMP IN MST'!$AB13="NOV"),'[1]LMP IN PPT'!R15,IF(AND('[1]LMP IN PPT'!$A15='[1]LMP IN MST'!$A13,'[1]LMP IN MST'!$Z13="DST",'[1]LMP IN MST'!$AA13="SF",'[1]LMP IN MST'!$AB13="MAR"),'[1]LMP IN PPT'!R15,IF(AND('[1]LMP IN PPT'!$A15='[1]LMP IN MST'!$A13,'[1]LMP IN MST'!$Z13="DST",'[1]LMP IN MST'!$AA13="NORM",'[1]LMP IN MST'!$AB13="NOV"),'[1]LMP IN PPT'!S15,IF(AND('[1]LMP IN PPT'!$A15='[1]LMP IN MST'!$A13,'[1]LMP IN MST'!$Z13="DST",'[1]LMP IN MST'!$AA13="NORM",OR('[1]LMP IN MST'!$AB13="MAR",'[1]LMP IN MST'!$AB13="")),'[1]LMP IN PPT'!R15,0))))))</f>
        <v>-14.38251</v>
      </c>
      <c r="P13">
        <f>IF(AND('[1]LMP IN PPT'!$A15='[1]LMP IN MST'!$A13,'[1]LMP IN MST'!$Z13="ST",'[1]LMP IN MST'!$AA13="NORM",OR('[1]LMP IN MST'!$AB13="MAR",'[1]LMP IN MST'!$AB13="")),'[1]LMP IN PPT'!R15,IF(AND('[1]LMP IN PPT'!$A15='[1]LMP IN MST'!$A13,'[1]LMP IN MST'!$Z13="DST",'[1]LMP IN MST'!$AA13="FB",'[1]LMP IN MST'!$AB13="NOV"),'[1]LMP IN PPT'!S15,IF(AND('[1]LMP IN PPT'!$A15='[1]LMP IN MST'!$A13,'[1]LMP IN MST'!$Z13="ST",'[1]LMP IN MST'!$AA13="NORM",'[1]LMP IN MST'!$AB13="NOV"),'[1]LMP IN PPT'!S15,IF(AND('[1]LMP IN PPT'!$A15='[1]LMP IN MST'!$A13,'[1]LMP IN MST'!$Z13="DST",'[1]LMP IN MST'!$AA13="SF",'[1]LMP IN MST'!$AB13="MAR"),'[1]LMP IN PPT'!S15,IF(AND('[1]LMP IN PPT'!$A15='[1]LMP IN MST'!$A13,'[1]LMP IN MST'!$Z13="DST",'[1]LMP IN MST'!$AA13="NORM",'[1]LMP IN MST'!$AB13="NOV"),'[1]LMP IN PPT'!T15,IF(AND('[1]LMP IN PPT'!$A15='[1]LMP IN MST'!$A13,'[1]LMP IN MST'!$Z13="DST",'[1]LMP IN MST'!$AA13="NORM",OR('[1]LMP IN MST'!$AB13="MAR",'[1]LMP IN MST'!$AB13="")),'[1]LMP IN PPT'!S15,0))))))</f>
        <v>-15.570919999999999</v>
      </c>
      <c r="Q13">
        <f>IF(AND('[1]LMP IN PPT'!$A15='[1]LMP IN MST'!$A13,'[1]LMP IN MST'!$Z13="ST",'[1]LMP IN MST'!$AA13="NORM",OR('[1]LMP IN MST'!$AB13="MAR",'[1]LMP IN MST'!$AB13="")),'[1]LMP IN PPT'!S15,IF(AND('[1]LMP IN PPT'!$A15='[1]LMP IN MST'!$A13,'[1]LMP IN MST'!$Z13="DST",'[1]LMP IN MST'!$AA13="FB",'[1]LMP IN MST'!$AB13="NOV"),'[1]LMP IN PPT'!T15,IF(AND('[1]LMP IN PPT'!$A15='[1]LMP IN MST'!$A13,'[1]LMP IN MST'!$Z13="ST",'[1]LMP IN MST'!$AA13="NORM",'[1]LMP IN MST'!$AB13="NOV"),'[1]LMP IN PPT'!T15,IF(AND('[1]LMP IN PPT'!$A15='[1]LMP IN MST'!$A13,'[1]LMP IN MST'!$Z13="DST",'[1]LMP IN MST'!$AA13="SF",'[1]LMP IN MST'!$AB13="MAR"),'[1]LMP IN PPT'!T15,IF(AND('[1]LMP IN PPT'!$A15='[1]LMP IN MST'!$A13,'[1]LMP IN MST'!$Z13="DST",'[1]LMP IN MST'!$AA13="NORM",'[1]LMP IN MST'!$AB13="NOV"),'[1]LMP IN PPT'!U15,IF(AND('[1]LMP IN PPT'!$A15='[1]LMP IN MST'!$A13,'[1]LMP IN MST'!$Z13="DST",'[1]LMP IN MST'!$AA13="NORM",OR('[1]LMP IN MST'!$AB13="MAR",'[1]LMP IN MST'!$AB13="")),'[1]LMP IN PPT'!T15,0))))))</f>
        <v>-17.02413</v>
      </c>
      <c r="R13">
        <f>IF(AND('[1]LMP IN PPT'!$A15='[1]LMP IN MST'!$A13,'[1]LMP IN MST'!$Z13="ST",'[1]LMP IN MST'!$AA13="NORM",OR('[1]LMP IN MST'!$AB13="MAR",'[1]LMP IN MST'!$AB13="")),'[1]LMP IN PPT'!T15,IF(AND('[1]LMP IN PPT'!$A15='[1]LMP IN MST'!$A13,'[1]LMP IN MST'!$Z13="DST",'[1]LMP IN MST'!$AA13="FB",'[1]LMP IN MST'!$AB13="NOV"),'[1]LMP IN PPT'!U15,IF(AND('[1]LMP IN PPT'!$A15='[1]LMP IN MST'!$A13,'[1]LMP IN MST'!$Z13="ST",'[1]LMP IN MST'!$AA13="NORM",'[1]LMP IN MST'!$AB13="NOV"),'[1]LMP IN PPT'!U15,IF(AND('[1]LMP IN PPT'!$A15='[1]LMP IN MST'!$A13,'[1]LMP IN MST'!$Z13="DST",'[1]LMP IN MST'!$AA13="SF",'[1]LMP IN MST'!$AB13="MAR"),'[1]LMP IN PPT'!U15,IF(AND('[1]LMP IN PPT'!$A15='[1]LMP IN MST'!$A13,'[1]LMP IN MST'!$Z13="DST",'[1]LMP IN MST'!$AA13="NORM",'[1]LMP IN MST'!$AB13="NOV"),'[1]LMP IN PPT'!V15,IF(AND('[1]LMP IN PPT'!$A15='[1]LMP IN MST'!$A13,'[1]LMP IN MST'!$Z13="DST",'[1]LMP IN MST'!$AA13="NORM",OR('[1]LMP IN MST'!$AB13="MAR",'[1]LMP IN MST'!$AB13="")),'[1]LMP IN PPT'!U15,0))))))</f>
        <v>-8.3598499999999998</v>
      </c>
      <c r="S13">
        <f>IF(AND('[1]LMP IN PPT'!$A15='[1]LMP IN MST'!$A13,'[1]LMP IN MST'!$Z13="ST",'[1]LMP IN MST'!$AA13="NORM",OR('[1]LMP IN MST'!$AB13="MAR",'[1]LMP IN MST'!$AB13="")),'[1]LMP IN PPT'!U15,IF(AND('[1]LMP IN PPT'!$A15='[1]LMP IN MST'!$A13,'[1]LMP IN MST'!$Z13="DST",'[1]LMP IN MST'!$AA13="FB",'[1]LMP IN MST'!$AB13="NOV"),'[1]LMP IN PPT'!V15,IF(AND('[1]LMP IN PPT'!$A15='[1]LMP IN MST'!$A13,'[1]LMP IN MST'!$Z13="ST",'[1]LMP IN MST'!$AA13="NORM",'[1]LMP IN MST'!$AB13="NOV"),'[1]LMP IN PPT'!V15,IF(AND('[1]LMP IN PPT'!$A15='[1]LMP IN MST'!$A13,'[1]LMP IN MST'!$Z13="DST",'[1]LMP IN MST'!$AA13="SF",'[1]LMP IN MST'!$AB13="MAR"),'[1]LMP IN PPT'!V15,IF(AND('[1]LMP IN PPT'!$A15='[1]LMP IN MST'!$A13,'[1]LMP IN MST'!$Z13="DST",'[1]LMP IN MST'!$AA13="NORM",'[1]LMP IN MST'!$AB13="NOV"),'[1]LMP IN PPT'!W15,IF(AND('[1]LMP IN PPT'!$A15='[1]LMP IN MST'!$A13,'[1]LMP IN MST'!$Z13="DST",'[1]LMP IN MST'!$AA13="NORM",OR('[1]LMP IN MST'!$AB13="MAR",'[1]LMP IN MST'!$AB13="")),'[1]LMP IN PPT'!V15,0))))))</f>
        <v>11.074400000000001</v>
      </c>
      <c r="T13">
        <f>IF(AND('[1]LMP IN PPT'!$A15='[1]LMP IN MST'!$A13,'[1]LMP IN MST'!$Z13="ST",'[1]LMP IN MST'!$AA13="NORM",OR('[1]LMP IN MST'!$AB13="MAR",'[1]LMP IN MST'!$AB13="")),'[1]LMP IN PPT'!V15,IF(AND('[1]LMP IN PPT'!$A15='[1]LMP IN MST'!$A13,'[1]LMP IN MST'!$Z13="DST",'[1]LMP IN MST'!$AA13="FB",'[1]LMP IN MST'!$AB13="NOV"),'[1]LMP IN PPT'!W15,IF(AND('[1]LMP IN PPT'!$A15='[1]LMP IN MST'!$A13,'[1]LMP IN MST'!$Z13="ST",'[1]LMP IN MST'!$AA13="NORM",'[1]LMP IN MST'!$AB13="NOV"),'[1]LMP IN PPT'!W15,IF(AND('[1]LMP IN PPT'!$A15='[1]LMP IN MST'!$A13,'[1]LMP IN MST'!$Z13="DST",'[1]LMP IN MST'!$AA13="SF",'[1]LMP IN MST'!$AB13="MAR"),'[1]LMP IN PPT'!W15,IF(AND('[1]LMP IN PPT'!$A15='[1]LMP IN MST'!$A13,'[1]LMP IN MST'!$Z13="DST",'[1]LMP IN MST'!$AA13="NORM",'[1]LMP IN MST'!$AB13="NOV"),'[1]LMP IN PPT'!X15,IF(AND('[1]LMP IN PPT'!$A15='[1]LMP IN MST'!$A13,'[1]LMP IN MST'!$Z13="DST",'[1]LMP IN MST'!$AA13="NORM",OR('[1]LMP IN MST'!$AB13="MAR",'[1]LMP IN MST'!$AB13="")),'[1]LMP IN PPT'!W15,0))))))</f>
        <v>40.502249999999997</v>
      </c>
      <c r="U13">
        <f>IF(AND('[1]LMP IN PPT'!$A15='[1]LMP IN MST'!$A13,'[1]LMP IN MST'!$Z13="ST",'[1]LMP IN MST'!$AA13="NORM",OR('[1]LMP IN MST'!$AB13="MAR",'[1]LMP IN MST'!$AB13="")),'[1]LMP IN PPT'!W15,IF(AND('[1]LMP IN PPT'!$A15='[1]LMP IN MST'!$A13,'[1]LMP IN MST'!$Z13="DST",'[1]LMP IN MST'!$AA13="FB",'[1]LMP IN MST'!$AB13="NOV"),'[1]LMP IN PPT'!X15,IF(AND('[1]LMP IN PPT'!$A15='[1]LMP IN MST'!$A13,'[1]LMP IN MST'!$Z13="ST",'[1]LMP IN MST'!$AA13="NORM",'[1]LMP IN MST'!$AB13="NOV"),'[1]LMP IN PPT'!X15,IF(AND('[1]LMP IN PPT'!$A15='[1]LMP IN MST'!$A13,'[1]LMP IN MST'!$Z13="DST",'[1]LMP IN MST'!$AA13="SF",'[1]LMP IN MST'!$AB13="MAR"),'[1]LMP IN PPT'!X15,IF(AND('[1]LMP IN PPT'!$A15='[1]LMP IN MST'!$A13,'[1]LMP IN MST'!$Z13="DST",'[1]LMP IN MST'!$AA13="NORM",'[1]LMP IN MST'!$AB13="NOV"),'[1]LMP IN PPT'!Y15,IF(AND('[1]LMP IN PPT'!$A15='[1]LMP IN MST'!$A13,'[1]LMP IN MST'!$Z13="DST",'[1]LMP IN MST'!$AA13="NORM",OR('[1]LMP IN MST'!$AB13="MAR",'[1]LMP IN MST'!$AB13="")),'[1]LMP IN PPT'!X15,0))))))</f>
        <v>45.620040000000003</v>
      </c>
      <c r="V13">
        <f>IF(AND('[1]LMP IN PPT'!$A15='[1]LMP IN MST'!$A13,'[1]LMP IN MST'!$Z13="ST",'[1]LMP IN MST'!$AA13="NORM",OR('[1]LMP IN MST'!$AB13="MAR",'[1]LMP IN MST'!$AB13="")),'[1]LMP IN PPT'!X15,IF(AND('[1]LMP IN PPT'!$A15='[1]LMP IN MST'!$A13,'[1]LMP IN MST'!$Z13="DST",'[1]LMP IN MST'!$AA13="FB",'[1]LMP IN MST'!$AB13="NOV"),'[1]LMP IN PPT'!Y15,IF(AND('[1]LMP IN PPT'!$A15='[1]LMP IN MST'!$A13,'[1]LMP IN MST'!$Z13="ST",'[1]LMP IN MST'!$AA13="NORM",'[1]LMP IN MST'!$AB13="NOV"),'[1]LMP IN PPT'!Y15,IF(AND('[1]LMP IN PPT'!$A15='[1]LMP IN MST'!$A13,'[1]LMP IN MST'!$Z13="DST",'[1]LMP IN MST'!$AA13="SF",'[1]LMP IN MST'!$AB13="MAR"),'[1]LMP IN PPT'!Y15,IF(AND('[1]LMP IN PPT'!$A15='[1]LMP IN MST'!$A13,'[1]LMP IN MST'!$Z13="DST",'[1]LMP IN MST'!$AA13="NORM",'[1]LMP IN MST'!$AB13="NOV"),'[1]LMP IN PPT'!Z15,IF(AND('[1]LMP IN PPT'!$A15='[1]LMP IN MST'!$A13,'[1]LMP IN MST'!$Z13="DST",'[1]LMP IN MST'!$AA13="NORM",OR('[1]LMP IN MST'!$AB13="MAR",'[1]LMP IN MST'!$AB13="")),'[1]LMP IN PPT'!Y15,0))))))</f>
        <v>45.148670000000003</v>
      </c>
      <c r="W13">
        <f>IF(AND('[1]LMP IN PPT'!$A15='[1]LMP IN MST'!$A13,'[1]LMP IN MST'!$Z13="ST",'[1]LMP IN MST'!$AA13="NORM",OR('[1]LMP IN MST'!$AB13="MAR",'[1]LMP IN MST'!$AB13="")),'[1]LMP IN PPT'!Y15,IF(AND('[1]LMP IN PPT'!$A15='[1]LMP IN MST'!$A13,'[1]LMP IN MST'!$Z13="DST",'[1]LMP IN MST'!$AA13="FB",'[1]LMP IN MST'!$AB13="NOV"),'[1]LMP IN PPT'!Z15,IF(AND('[1]LMP IN PPT'!$A15='[1]LMP IN MST'!$A13,'[1]LMP IN MST'!$Z13="ST",'[1]LMP IN MST'!$AA13="NORM",'[1]LMP IN MST'!$AB13="NOV"),'[1]LMP IN PPT'!Z15,IF(AND('[1]LMP IN PPT'!$A15='[1]LMP IN MST'!$A13,'[1]LMP IN MST'!$Z13="DST",'[1]LMP IN MST'!$AA13="SF",'[1]LMP IN MST'!$AB13="MAR"),'[1]LMP IN PPT'!Z15,IF(AND('[1]LMP IN PPT'!$A15='[1]LMP IN MST'!$A13,'[1]LMP IN MST'!$Z13="DST",'[1]LMP IN MST'!$AA13="NORM",'[1]LMP IN MST'!$AB13="NOV"),'[1]LMP IN PPT'!AA15,IF(AND('[1]LMP IN PPT'!$A15='[1]LMP IN MST'!$A13,'[1]LMP IN MST'!$Z13="DST",'[1]LMP IN MST'!$AA13="NORM",OR('[1]LMP IN MST'!$AB13="MAR",'[1]LMP IN MST'!$AB13="")),'[1]LMP IN PPT'!Z15,0))))))</f>
        <v>42.060400000000001</v>
      </c>
      <c r="X13">
        <f>IF(AND('[1]LMP IN PPT'!$A15='[1]LMP IN MST'!$A13,'[1]LMP IN MST'!$Z13="ST",'[1]LMP IN MST'!$AA13="NORM",OR('[1]LMP IN MST'!$AB13="MAR",'[1]LMP IN MST'!$AB13="")),'[1]LMP IN PPT'!Z15,IF(AND('[1]LMP IN PPT'!$A15='[1]LMP IN MST'!$A13,'[1]LMP IN MST'!$Z13="DST",'[1]LMP IN MST'!$AA13="FB",'[1]LMP IN MST'!$AB13="NOV"),'[1]LMP IN PPT'!AA15,IF(AND('[1]LMP IN PPT'!$A15='[1]LMP IN MST'!$A13,'[1]LMP IN MST'!$Z13="ST",'[1]LMP IN MST'!$AA13="NORM",'[1]LMP IN MST'!$AB13="NOV"),'[1]LMP IN PPT'!AA15,IF(AND('[1]LMP IN PPT'!$A15='[1]LMP IN MST'!$A13,'[1]LMP IN MST'!$Z13="DST",'[1]LMP IN MST'!$AA13="SF",'[1]LMP IN MST'!$AB13="MAR"),'[1]LMP IN PPT'!AA15,IF(AND('[1]LMP IN PPT'!$A15='[1]LMP IN MST'!$A13,'[1]LMP IN MST'!$Z13="DST",'[1]LMP IN MST'!$AA13="NORM",'[1]LMP IN MST'!$AB13="NOV"),'[1]LMP IN PPT'!AB15,IF(AND('[1]LMP IN PPT'!$A15='[1]LMP IN MST'!$A13,'[1]LMP IN MST'!$Z13="DST",'[1]LMP IN MST'!$AA13="NORM",OR('[1]LMP IN MST'!$AB13="MAR",'[1]LMP IN MST'!$AB13="")),'[1]LMP IN PPT'!AA15,0))))))</f>
        <v>34.784089999999999</v>
      </c>
      <c r="Y13">
        <f>IF(AND('[1]LMP IN PPT'!$A15='[1]LMP IN MST'!$A13,'[1]LMP IN MST'!$Z13="ST",'[1]LMP IN MST'!$AA13="NORM",OR('[1]LMP IN MST'!$AB13="MAR",'[1]LMP IN MST'!$AB13="")),'[1]LMP IN PPT'!AA15,IF(AND('[1]LMP IN PPT'!$A15='[1]LMP IN MST'!$A13,'[1]LMP IN MST'!$Z13="DST",'[1]LMP IN MST'!$AA13="FB",'[1]LMP IN MST'!$AB13="NOV"),'[1]LMP IN PPT'!AB15,IF(AND('[1]LMP IN PPT'!$A15='[1]LMP IN MST'!$A13,'[1]LMP IN MST'!$Z13="ST",'[1]LMP IN MST'!$AA13="NORM",'[1]LMP IN MST'!$AB13="NOV"),'[1]LMP IN PPT'!AB15,IF(AND('[1]LMP IN PPT'!$A15='[1]LMP IN MST'!$A13,'[1]LMP IN MST'!$Z13="DST",'[1]LMP IN MST'!$AA13="SF",'[1]LMP IN MST'!$AB13="MAR"),'[1]LMP IN PPT'!AB15,IF(AND('[1]LMP IN PPT'!$A15='[1]LMP IN MST'!$A13,'[1]LMP IN MST'!$Z13="DST",'[1]LMP IN MST'!$AA13="NORM",'[1]LMP IN MST'!$AB13="NOV"),'[1]LMP IN PPT'!AC15,IF(AND('[1]LMP IN PPT'!$A15='[1]LMP IN MST'!$A13,'[1]LMP IN MST'!$Z13="DST",'[1]LMP IN MST'!$AA13="NORM",OR('[1]LMP IN MST'!$AB13="MAR",'[1]LMP IN MST'!$AB13="")),'[1]LMP IN PPT'!AB15,0))))))</f>
        <v>29.43084</v>
      </c>
    </row>
    <row r="14" spans="1:25" x14ac:dyDescent="0.3">
      <c r="A14" s="1">
        <f t="shared" si="0"/>
        <v>45364</v>
      </c>
      <c r="B14">
        <f>IF(AND('[1]LMP IN PPT'!$A16='[1]LMP IN MST'!$A14,'[1]LMP IN MST'!$Z14="ST",'[1]LMP IN MST'!$AA14="NORM",'[1]LMP IN MST'!$AB14="NOV"),'[1]LMP IN PPT'!AC15,IF(AND('[1]LMP IN PPT'!$A16='[1]LMP IN MST'!$A14,'[1]LMP IN MST'!$Z14="ST",'[1]LMP IN MST'!$AA14="NORM",'[1]LMP IN MST'!$AB14="MAR"),'[1]LMP IN PPT'!AB15,IF(AND('[1]LMP IN PPT'!$A16='[1]LMP IN MST'!$A14,'[1]LMP IN MST'!$Z14="ST",'[1]LMP IN MST'!$AA14="NORM",'[1]LMP IN MST'!$AB14=""),'[1]LMP IN PPT'!AB15,IF(AND('[1]LMP IN PPT'!$A16='[1]LMP IN MST'!$A14,'[1]LMP IN MST'!$Z14="DST",'[1]LMP IN MST'!$AA14="FB",'[1]LMP IN MST'!$AB14="NOV"),'[1]LMP IN PPT'!E16,IF(AND('[1]LMP IN PPT'!$A16='[1]LMP IN MST'!$A14,'[1]LMP IN MST'!$Z14="DST",'[1]LMP IN MST'!$AA14="SF",'[1]LMP IN MST'!$AB14="MAR"),'[1]LMP IN PPT'!AB15,IF(AND('[1]LMP IN PPT'!$A16='[1]LMP IN MST'!$A14,'[1]LMP IN MST'!$Z14="DST",'[1]LMP IN MST'!$AA14="NORM",OR('[1]LMP IN MST'!$AB14="MAR",'[1]LMP IN MST'!$AB14="",'[1]LMP IN MST'!$AB14="NOV")),'[1]LMP IN PPT'!E16,0))))))</f>
        <v>27.974150000000002</v>
      </c>
      <c r="C14">
        <f>IF(AND('[1]LMP IN PPT'!$A16='[1]LMP IN MST'!$A14,'[1]LMP IN MST'!$Z14="ST",'[1]LMP IN MST'!$AA14="NORM",OR('[1]LMP IN MST'!$AB14="NOV",'[1]LMP IN MST'!$AB14="MAR",'[1]LMP IN MST'!$AB14="")),'[1]LMP IN PPT'!E16,IF(AND('[1]LMP IN PPT'!$A16='[1]LMP IN MST'!$A14,'[1]LMP IN MST'!$Z14="DST",'[1]LMP IN MST'!$AA14="FB",'[1]LMP IN MST'!$AB14="NOV"),'[1]LMP IN PPT'!F16,IF(AND('[1]LMP IN PPT'!$A16='[1]LMP IN MST'!$A14,'[1]LMP IN MST'!$Z14="DST",'[1]LMP IN MST'!$AA14="SF",'[1]LMP IN MST'!$AB14="MAR"),'[1]LMP IN PPT'!E16,IF(AND('[1]LMP IN PPT'!$A16='[1]LMP IN MST'!$A14,'[1]LMP IN MST'!$Z14="DST",'[1]LMP IN MST'!$AA14="NORM",OR('[1]LMP IN MST'!$AB14="MAR",'[1]LMP IN MST'!$AB14="",'[1]LMP IN MST'!$AB14="NOV")),'[1]LMP IN PPT'!F16,0))))</f>
        <v>25.371009999999998</v>
      </c>
      <c r="D14">
        <f>IF(AND('[1]LMP IN PPT'!$A16='[1]LMP IN MST'!$A14,'[1]LMP IN MST'!$Z14="ST",'[1]LMP IN MST'!$AA14="NORM",OR('[1]LMP IN MST'!$AB14="NOV",'[1]LMP IN MST'!$AB14="MAR",'[1]LMP IN MST'!$AB14="")),'[1]LMP IN PPT'!F16,IF(AND('[1]LMP IN PPT'!$A16='[1]LMP IN MST'!$A14,'[1]LMP IN MST'!$Z14="DST",'[1]LMP IN MST'!$AA14="FB",'[1]LMP IN MST'!$AB14="NOV"),'[1]LMP IN PPT'!G16,IF(AND('[1]LMP IN PPT'!$A16='[1]LMP IN MST'!$A14,'[1]LMP IN MST'!$Z14="DST",'[1]LMP IN MST'!$AA14="SF",'[1]LMP IN MST'!$AB14="MAR"),'[1]LMP IN PPT'!F16,IF(AND('[1]LMP IN PPT'!$A16='[1]LMP IN MST'!$A14,'[1]LMP IN MST'!$Z14="DST",'[1]LMP IN MST'!$AA14="NORM",'[1]LMP IN MST'!$AB14="NOV"),'[1]LMP IN PPT'!H16,IF(AND('[1]LMP IN PPT'!$A16='[1]LMP IN MST'!$A14,'[1]LMP IN MST'!$Z14="DST",'[1]LMP IN MST'!$AA14="NORM",OR('[1]LMP IN MST'!$AB14="MAR",'[1]LMP IN MST'!$AB14="")),'[1]LMP IN PPT'!G16,0)))))</f>
        <v>26.581990000000001</v>
      </c>
      <c r="E14">
        <f>IF(AND('[1]LMP IN PPT'!$A16='[1]LMP IN MST'!$A14,'[1]LMP IN MST'!$Z14="ST",'[1]LMP IN MST'!$AA14="NORM",OR('[1]LMP IN MST'!$AB14="MAR",'[1]LMP IN MST'!$AB14="")),'[1]LMP IN PPT'!G16,IF(AND('[1]LMP IN PPT'!$A16='[1]LMP IN MST'!$A14,'[1]LMP IN MST'!$Z14="DST",'[1]LMP IN MST'!$AA14="FB",'[1]LMP IN MST'!$AB14="NOV"),'[1]LMP IN PPT'!H16,IF(AND('[1]LMP IN PPT'!$A16='[1]LMP IN MST'!$A14,'[1]LMP IN MST'!$Z14="ST",'[1]LMP IN MST'!$AA14="NORM",'[1]LMP IN MST'!$AB14="NOV"),'[1]LMP IN PPT'!H16,IF(AND('[1]LMP IN PPT'!$A16='[1]LMP IN MST'!$A14,'[1]LMP IN MST'!$Z14="DST",'[1]LMP IN MST'!$AA14="SF",'[1]LMP IN MST'!$AB14="MAR"),'[1]LMP IN PPT'!H16,IF(AND('[1]LMP IN PPT'!$A16='[1]LMP IN MST'!$A14,'[1]LMP IN MST'!$Z14="DST",'[1]LMP IN MST'!$AA14="NORM",'[1]LMP IN MST'!$AB14="NOV"),'[1]LMP IN PPT'!I16,IF(AND('[1]LMP IN PPT'!$A16='[1]LMP IN MST'!$A14,'[1]LMP IN MST'!$Z14="DST",'[1]LMP IN MST'!$AA14="NORM",OR('[1]LMP IN MST'!$AB14="MAR",'[1]LMP IN MST'!$AB14="")),'[1]LMP IN PPT'!H16,0))))))</f>
        <v>26.536770000000001</v>
      </c>
      <c r="F14">
        <f>IF(AND('[1]LMP IN PPT'!$A16='[1]LMP IN MST'!$A14,'[1]LMP IN MST'!$Z14="ST",'[1]LMP IN MST'!$AA14="NORM",OR('[1]LMP IN MST'!$AB14="MAR",'[1]LMP IN MST'!$AB14="")),'[1]LMP IN PPT'!H16,IF(AND('[1]LMP IN PPT'!$A16='[1]LMP IN MST'!$A14,'[1]LMP IN MST'!$Z14="DST",'[1]LMP IN MST'!$AA14="FB",'[1]LMP IN MST'!$AB14="NOV"),'[1]LMP IN PPT'!I16,IF(AND('[1]LMP IN PPT'!$A16='[1]LMP IN MST'!$A14,'[1]LMP IN MST'!$Z14="ST",'[1]LMP IN MST'!$AA14="NORM",'[1]LMP IN MST'!$AB14="NOV"),'[1]LMP IN PPT'!I16,IF(AND('[1]LMP IN PPT'!$A16='[1]LMP IN MST'!$A14,'[1]LMP IN MST'!$Z14="DST",'[1]LMP IN MST'!$AA14="SF",'[1]LMP IN MST'!$AB14="MAR"),'[1]LMP IN PPT'!I16,IF(AND('[1]LMP IN PPT'!$A16='[1]LMP IN MST'!$A14,'[1]LMP IN MST'!$Z14="DST",'[1]LMP IN MST'!$AA14="NORM",'[1]LMP IN MST'!$AB14="NOV"),'[1]LMP IN PPT'!J16,IF(AND('[1]LMP IN PPT'!$A16='[1]LMP IN MST'!$A14,'[1]LMP IN MST'!$Z14="DST",'[1]LMP IN MST'!$AA14="NORM",OR('[1]LMP IN MST'!$AB14="MAR",'[1]LMP IN MST'!$AB14="")),'[1]LMP IN PPT'!I16,0))))))</f>
        <v>28.165389999999999</v>
      </c>
      <c r="G14">
        <f>IF(AND('[1]LMP IN PPT'!$A16='[1]LMP IN MST'!$A14,'[1]LMP IN MST'!$Z14="ST",'[1]LMP IN MST'!$AA14="NORM",OR('[1]LMP IN MST'!$AB14="MAR",'[1]LMP IN MST'!$AB14="")),'[1]LMP IN PPT'!I16,IF(AND('[1]LMP IN PPT'!$A16='[1]LMP IN MST'!$A14,'[1]LMP IN MST'!$Z14="DST",'[1]LMP IN MST'!$AA14="FB",'[1]LMP IN MST'!$AB14="NOV"),'[1]LMP IN PPT'!J16,IF(AND('[1]LMP IN PPT'!$A16='[1]LMP IN MST'!$A14,'[1]LMP IN MST'!$Z14="ST",'[1]LMP IN MST'!$AA14="NORM",'[1]LMP IN MST'!$AB14="NOV"),'[1]LMP IN PPT'!J16,IF(AND('[1]LMP IN PPT'!$A16='[1]LMP IN MST'!$A14,'[1]LMP IN MST'!$Z14="DST",'[1]LMP IN MST'!$AA14="SF",'[1]LMP IN MST'!$AB14="MAR"),'[1]LMP IN PPT'!J16,IF(AND('[1]LMP IN PPT'!$A16='[1]LMP IN MST'!$A14,'[1]LMP IN MST'!$Z14="DST",'[1]LMP IN MST'!$AA14="NORM",'[1]LMP IN MST'!$AB14="NOV"),'[1]LMP IN PPT'!K16,IF(AND('[1]LMP IN PPT'!$A16='[1]LMP IN MST'!$A14,'[1]LMP IN MST'!$Z14="DST",'[1]LMP IN MST'!$AA14="NORM",OR('[1]LMP IN MST'!$AB14="MAR",'[1]LMP IN MST'!$AB14="")),'[1]LMP IN PPT'!J16,0))))))</f>
        <v>36.709400000000002</v>
      </c>
      <c r="H14">
        <f>IF(AND('[1]LMP IN PPT'!$A16='[1]LMP IN MST'!$A14,'[1]LMP IN MST'!$Z14="ST",'[1]LMP IN MST'!$AA14="NORM",OR('[1]LMP IN MST'!$AB14="MAR",'[1]LMP IN MST'!$AB14="")),'[1]LMP IN PPT'!J16,IF(AND('[1]LMP IN PPT'!$A16='[1]LMP IN MST'!$A14,'[1]LMP IN MST'!$Z14="DST",'[1]LMP IN MST'!$AA14="FB",'[1]LMP IN MST'!$AB14="NOV"),'[1]LMP IN PPT'!K16,IF(AND('[1]LMP IN PPT'!$A16='[1]LMP IN MST'!$A14,'[1]LMP IN MST'!$Z14="ST",'[1]LMP IN MST'!$AA14="NORM",'[1]LMP IN MST'!$AB14="NOV"),'[1]LMP IN PPT'!K16,IF(AND('[1]LMP IN PPT'!$A16='[1]LMP IN MST'!$A14,'[1]LMP IN MST'!$Z14="DST",'[1]LMP IN MST'!$AA14="SF",'[1]LMP IN MST'!$AB14="MAR"),'[1]LMP IN PPT'!K16,IF(AND('[1]LMP IN PPT'!$A16='[1]LMP IN MST'!$A14,'[1]LMP IN MST'!$Z14="DST",'[1]LMP IN MST'!$AA14="NORM",'[1]LMP IN MST'!$AB14="NOV"),'[1]LMP IN PPT'!L16,IF(AND('[1]LMP IN PPT'!$A16='[1]LMP IN MST'!$A14,'[1]LMP IN MST'!$Z14="DST",'[1]LMP IN MST'!$AA14="NORM",OR('[1]LMP IN MST'!$AB14="MAR",'[1]LMP IN MST'!$AB14="")),'[1]LMP IN PPT'!K16,0))))))</f>
        <v>43.137799999999999</v>
      </c>
      <c r="I14">
        <f>IF(AND('[1]LMP IN PPT'!$A16='[1]LMP IN MST'!$A14,'[1]LMP IN MST'!$Z14="ST",'[1]LMP IN MST'!$AA14="NORM",OR('[1]LMP IN MST'!$AB14="MAR",'[1]LMP IN MST'!$AB14="")),'[1]LMP IN PPT'!K16,IF(AND('[1]LMP IN PPT'!$A16='[1]LMP IN MST'!$A14,'[1]LMP IN MST'!$Z14="DST",'[1]LMP IN MST'!$AA14="FB",'[1]LMP IN MST'!$AB14="NOV"),'[1]LMP IN PPT'!L16,IF(AND('[1]LMP IN PPT'!$A16='[1]LMP IN MST'!$A14,'[1]LMP IN MST'!$Z14="ST",'[1]LMP IN MST'!$AA14="NORM",'[1]LMP IN MST'!$AB14="NOV"),'[1]LMP IN PPT'!L16,IF(AND('[1]LMP IN PPT'!$A16='[1]LMP IN MST'!$A14,'[1]LMP IN MST'!$Z14="DST",'[1]LMP IN MST'!$AA14="SF",'[1]LMP IN MST'!$AB14="MAR"),'[1]LMP IN PPT'!L16,IF(AND('[1]LMP IN PPT'!$A16='[1]LMP IN MST'!$A14,'[1]LMP IN MST'!$Z14="DST",'[1]LMP IN MST'!$AA14="NORM",'[1]LMP IN MST'!$AB14="NOV"),'[1]LMP IN PPT'!M16,IF(AND('[1]LMP IN PPT'!$A16='[1]LMP IN MST'!$A14,'[1]LMP IN MST'!$Z14="DST",'[1]LMP IN MST'!$AA14="NORM",OR('[1]LMP IN MST'!$AB14="MAR",'[1]LMP IN MST'!$AB14="")),'[1]LMP IN PPT'!L16,0))))))</f>
        <v>44.385689999999997</v>
      </c>
      <c r="J14">
        <f>IF(AND('[1]LMP IN PPT'!$A16='[1]LMP IN MST'!$A14,'[1]LMP IN MST'!$Z14="ST",'[1]LMP IN MST'!$AA14="NORM",OR('[1]LMP IN MST'!$AB14="MAR",'[1]LMP IN MST'!$AB14="")),'[1]LMP IN PPT'!L16,IF(AND('[1]LMP IN PPT'!$A16='[1]LMP IN MST'!$A14,'[1]LMP IN MST'!$Z14="DST",'[1]LMP IN MST'!$AA14="FB",'[1]LMP IN MST'!$AB14="NOV"),'[1]LMP IN PPT'!M16,IF(AND('[1]LMP IN PPT'!$A16='[1]LMP IN MST'!$A14,'[1]LMP IN MST'!$Z14="ST",'[1]LMP IN MST'!$AA14="NORM",'[1]LMP IN MST'!$AB14="NOV"),'[1]LMP IN PPT'!M16,IF(AND('[1]LMP IN PPT'!$A16='[1]LMP IN MST'!$A14,'[1]LMP IN MST'!$Z14="DST",'[1]LMP IN MST'!$AA14="SF",'[1]LMP IN MST'!$AB14="MAR"),'[1]LMP IN PPT'!M16,IF(AND('[1]LMP IN PPT'!$A16='[1]LMP IN MST'!$A14,'[1]LMP IN MST'!$Z14="DST",'[1]LMP IN MST'!$AA14="NORM",'[1]LMP IN MST'!$AB14="NOV"),'[1]LMP IN PPT'!N16,IF(AND('[1]LMP IN PPT'!$A16='[1]LMP IN MST'!$A14,'[1]LMP IN MST'!$Z14="DST",'[1]LMP IN MST'!$AA14="NORM",OR('[1]LMP IN MST'!$AB14="MAR",'[1]LMP IN MST'!$AB14="")),'[1]LMP IN PPT'!M16,0))))))</f>
        <v>18.799479999999999</v>
      </c>
      <c r="K14">
        <f>IF(AND('[1]LMP IN PPT'!$A16='[1]LMP IN MST'!$A14,'[1]LMP IN MST'!$Z14="ST",'[1]LMP IN MST'!$AA14="NORM",OR('[1]LMP IN MST'!$AB14="MAR",'[1]LMP IN MST'!$AB14="")),'[1]LMP IN PPT'!M16,IF(AND('[1]LMP IN PPT'!$A16='[1]LMP IN MST'!$A14,'[1]LMP IN MST'!$Z14="DST",'[1]LMP IN MST'!$AA14="FB",'[1]LMP IN MST'!$AB14="NOV"),'[1]LMP IN PPT'!N16,IF(AND('[1]LMP IN PPT'!$A16='[1]LMP IN MST'!$A14,'[1]LMP IN MST'!$Z14="ST",'[1]LMP IN MST'!$AA14="NORM",'[1]LMP IN MST'!$AB14="NOV"),'[1]LMP IN PPT'!N16,IF(AND('[1]LMP IN PPT'!$A16='[1]LMP IN MST'!$A14,'[1]LMP IN MST'!$Z14="DST",'[1]LMP IN MST'!$AA14="SF",'[1]LMP IN MST'!$AB14="MAR"),'[1]LMP IN PPT'!N16,IF(AND('[1]LMP IN PPT'!$A16='[1]LMP IN MST'!$A14,'[1]LMP IN MST'!$Z14="DST",'[1]LMP IN MST'!$AA14="NORM",'[1]LMP IN MST'!$AB14="NOV"),'[1]LMP IN PPT'!O16,IF(AND('[1]LMP IN PPT'!$A16='[1]LMP IN MST'!$A14,'[1]LMP IN MST'!$Z14="DST",'[1]LMP IN MST'!$AA14="NORM",OR('[1]LMP IN MST'!$AB14="MAR",'[1]LMP IN MST'!$AB14="")),'[1]LMP IN PPT'!N16,0))))))</f>
        <v>-10.30298</v>
      </c>
      <c r="L14">
        <f>IF(AND('[1]LMP IN PPT'!$A16='[1]LMP IN MST'!$A14,'[1]LMP IN MST'!$Z14="ST",'[1]LMP IN MST'!$AA14="NORM",OR('[1]LMP IN MST'!$AB14="MAR",'[1]LMP IN MST'!$AB14="")),'[1]LMP IN PPT'!N16,IF(AND('[1]LMP IN PPT'!$A16='[1]LMP IN MST'!$A14,'[1]LMP IN MST'!$Z14="DST",'[1]LMP IN MST'!$AA14="FB",'[1]LMP IN MST'!$AB14="NOV"),'[1]LMP IN PPT'!O16,IF(AND('[1]LMP IN PPT'!$A16='[1]LMP IN MST'!$A14,'[1]LMP IN MST'!$Z14="ST",'[1]LMP IN MST'!$AA14="NORM",'[1]LMP IN MST'!$AB14="NOV"),'[1]LMP IN PPT'!O16,IF(AND('[1]LMP IN PPT'!$A16='[1]LMP IN MST'!$A14,'[1]LMP IN MST'!$Z14="DST",'[1]LMP IN MST'!$AA14="SF",'[1]LMP IN MST'!$AB14="MAR"),'[1]LMP IN PPT'!O16,IF(AND('[1]LMP IN PPT'!$A16='[1]LMP IN MST'!$A14,'[1]LMP IN MST'!$Z14="DST",'[1]LMP IN MST'!$AA14="NORM",'[1]LMP IN MST'!$AB14="NOV"),'[1]LMP IN PPT'!P16,IF(AND('[1]LMP IN PPT'!$A16='[1]LMP IN MST'!$A14,'[1]LMP IN MST'!$Z14="DST",'[1]LMP IN MST'!$AA14="NORM",OR('[1]LMP IN MST'!$AB14="MAR",'[1]LMP IN MST'!$AB14="")),'[1]LMP IN PPT'!O16,0))))))</f>
        <v>-23.274940000000001</v>
      </c>
      <c r="M14">
        <f>IF(AND('[1]LMP IN PPT'!$A16='[1]LMP IN MST'!$A14,'[1]LMP IN MST'!$Z14="ST",'[1]LMP IN MST'!$AA14="NORM",OR('[1]LMP IN MST'!$AB14="MAR",'[1]LMP IN MST'!$AB14="")),'[1]LMP IN PPT'!O16,IF(AND('[1]LMP IN PPT'!$A16='[1]LMP IN MST'!$A14,'[1]LMP IN MST'!$Z14="DST",'[1]LMP IN MST'!$AA14="FB",'[1]LMP IN MST'!$AB14="NOV"),'[1]LMP IN PPT'!P16,IF(AND('[1]LMP IN PPT'!$A16='[1]LMP IN MST'!$A14,'[1]LMP IN MST'!$Z14="ST",'[1]LMP IN MST'!$AA14="NORM",'[1]LMP IN MST'!$AB14="NOV"),'[1]LMP IN PPT'!P16,IF(AND('[1]LMP IN PPT'!$A16='[1]LMP IN MST'!$A14,'[1]LMP IN MST'!$Z14="DST",'[1]LMP IN MST'!$AA14="SF",'[1]LMP IN MST'!$AB14="MAR"),'[1]LMP IN PPT'!P16,IF(AND('[1]LMP IN PPT'!$A16='[1]LMP IN MST'!$A14,'[1]LMP IN MST'!$Z14="DST",'[1]LMP IN MST'!$AA14="NORM",'[1]LMP IN MST'!$AB14="NOV"),'[1]LMP IN PPT'!Q16,IF(AND('[1]LMP IN PPT'!$A16='[1]LMP IN MST'!$A14,'[1]LMP IN MST'!$Z14="DST",'[1]LMP IN MST'!$AA14="NORM",OR('[1]LMP IN MST'!$AB14="MAR",'[1]LMP IN MST'!$AB14="")),'[1]LMP IN PPT'!P16,0))))))</f>
        <v>-26.0809</v>
      </c>
      <c r="N14">
        <f>IF(AND('[1]LMP IN PPT'!$A16='[1]LMP IN MST'!$A14,'[1]LMP IN MST'!$Z14="ST",'[1]LMP IN MST'!$AA14="NORM",OR('[1]LMP IN MST'!$AB14="MAR",'[1]LMP IN MST'!$AB14="")),'[1]LMP IN PPT'!P16,IF(AND('[1]LMP IN PPT'!$A16='[1]LMP IN MST'!$A14,'[1]LMP IN MST'!$Z14="DST",'[1]LMP IN MST'!$AA14="FB",'[1]LMP IN MST'!$AB14="NOV"),'[1]LMP IN PPT'!Q16,IF(AND('[1]LMP IN PPT'!$A16='[1]LMP IN MST'!$A14,'[1]LMP IN MST'!$Z14="ST",'[1]LMP IN MST'!$AA14="NORM",'[1]LMP IN MST'!$AB14="NOV"),'[1]LMP IN PPT'!Q16,IF(AND('[1]LMP IN PPT'!$A16='[1]LMP IN MST'!$A14,'[1]LMP IN MST'!$Z14="DST",'[1]LMP IN MST'!$AA14="SF",'[1]LMP IN MST'!$AB14="MAR"),'[1]LMP IN PPT'!Q16,IF(AND('[1]LMP IN PPT'!$A16='[1]LMP IN MST'!$A14,'[1]LMP IN MST'!$Z14="DST",'[1]LMP IN MST'!$AA14="NORM",'[1]LMP IN MST'!$AB14="NOV"),'[1]LMP IN PPT'!R16,IF(AND('[1]LMP IN PPT'!$A16='[1]LMP IN MST'!$A14,'[1]LMP IN MST'!$Z14="DST",'[1]LMP IN MST'!$AA14="NORM",OR('[1]LMP IN MST'!$AB14="MAR",'[1]LMP IN MST'!$AB14="")),'[1]LMP IN PPT'!Q16,0))))))</f>
        <v>-28.484100000000002</v>
      </c>
      <c r="O14">
        <f>IF(AND('[1]LMP IN PPT'!$A16='[1]LMP IN MST'!$A14,'[1]LMP IN MST'!$Z14="ST",'[1]LMP IN MST'!$AA14="NORM",OR('[1]LMP IN MST'!$AB14="MAR",'[1]LMP IN MST'!$AB14="")),'[1]LMP IN PPT'!Q16,IF(AND('[1]LMP IN PPT'!$A16='[1]LMP IN MST'!$A14,'[1]LMP IN MST'!$Z14="DST",'[1]LMP IN MST'!$AA14="FB",'[1]LMP IN MST'!$AB14="NOV"),'[1]LMP IN PPT'!R16,IF(AND('[1]LMP IN PPT'!$A16='[1]LMP IN MST'!$A14,'[1]LMP IN MST'!$Z14="ST",'[1]LMP IN MST'!$AA14="NORM",'[1]LMP IN MST'!$AB14="NOV"),'[1]LMP IN PPT'!R16,IF(AND('[1]LMP IN PPT'!$A16='[1]LMP IN MST'!$A14,'[1]LMP IN MST'!$Z14="DST",'[1]LMP IN MST'!$AA14="SF",'[1]LMP IN MST'!$AB14="MAR"),'[1]LMP IN PPT'!R16,IF(AND('[1]LMP IN PPT'!$A16='[1]LMP IN MST'!$A14,'[1]LMP IN MST'!$Z14="DST",'[1]LMP IN MST'!$AA14="NORM",'[1]LMP IN MST'!$AB14="NOV"),'[1]LMP IN PPT'!S16,IF(AND('[1]LMP IN PPT'!$A16='[1]LMP IN MST'!$A14,'[1]LMP IN MST'!$Z14="DST",'[1]LMP IN MST'!$AA14="NORM",OR('[1]LMP IN MST'!$AB14="MAR",'[1]LMP IN MST'!$AB14="")),'[1]LMP IN PPT'!R16,0))))))</f>
        <v>-27.950610000000001</v>
      </c>
      <c r="P14">
        <f>IF(AND('[1]LMP IN PPT'!$A16='[1]LMP IN MST'!$A14,'[1]LMP IN MST'!$Z14="ST",'[1]LMP IN MST'!$AA14="NORM",OR('[1]LMP IN MST'!$AB14="MAR",'[1]LMP IN MST'!$AB14="")),'[1]LMP IN PPT'!R16,IF(AND('[1]LMP IN PPT'!$A16='[1]LMP IN MST'!$A14,'[1]LMP IN MST'!$Z14="DST",'[1]LMP IN MST'!$AA14="FB",'[1]LMP IN MST'!$AB14="NOV"),'[1]LMP IN PPT'!S16,IF(AND('[1]LMP IN PPT'!$A16='[1]LMP IN MST'!$A14,'[1]LMP IN MST'!$Z14="ST",'[1]LMP IN MST'!$AA14="NORM",'[1]LMP IN MST'!$AB14="NOV"),'[1]LMP IN PPT'!S16,IF(AND('[1]LMP IN PPT'!$A16='[1]LMP IN MST'!$A14,'[1]LMP IN MST'!$Z14="DST",'[1]LMP IN MST'!$AA14="SF",'[1]LMP IN MST'!$AB14="MAR"),'[1]LMP IN PPT'!S16,IF(AND('[1]LMP IN PPT'!$A16='[1]LMP IN MST'!$A14,'[1]LMP IN MST'!$Z14="DST",'[1]LMP IN MST'!$AA14="NORM",'[1]LMP IN MST'!$AB14="NOV"),'[1]LMP IN PPT'!T16,IF(AND('[1]LMP IN PPT'!$A16='[1]LMP IN MST'!$A14,'[1]LMP IN MST'!$Z14="DST",'[1]LMP IN MST'!$AA14="NORM",OR('[1]LMP IN MST'!$AB14="MAR",'[1]LMP IN MST'!$AB14="")),'[1]LMP IN PPT'!S16,0))))))</f>
        <v>-27.502939999999999</v>
      </c>
      <c r="Q14">
        <f>IF(AND('[1]LMP IN PPT'!$A16='[1]LMP IN MST'!$A14,'[1]LMP IN MST'!$Z14="ST",'[1]LMP IN MST'!$AA14="NORM",OR('[1]LMP IN MST'!$AB14="MAR",'[1]LMP IN MST'!$AB14="")),'[1]LMP IN PPT'!S16,IF(AND('[1]LMP IN PPT'!$A16='[1]LMP IN MST'!$A14,'[1]LMP IN MST'!$Z14="DST",'[1]LMP IN MST'!$AA14="FB",'[1]LMP IN MST'!$AB14="NOV"),'[1]LMP IN PPT'!T16,IF(AND('[1]LMP IN PPT'!$A16='[1]LMP IN MST'!$A14,'[1]LMP IN MST'!$Z14="ST",'[1]LMP IN MST'!$AA14="NORM",'[1]LMP IN MST'!$AB14="NOV"),'[1]LMP IN PPT'!T16,IF(AND('[1]LMP IN PPT'!$A16='[1]LMP IN MST'!$A14,'[1]LMP IN MST'!$Z14="DST",'[1]LMP IN MST'!$AA14="SF",'[1]LMP IN MST'!$AB14="MAR"),'[1]LMP IN PPT'!T16,IF(AND('[1]LMP IN PPT'!$A16='[1]LMP IN MST'!$A14,'[1]LMP IN MST'!$Z14="DST",'[1]LMP IN MST'!$AA14="NORM",'[1]LMP IN MST'!$AB14="NOV"),'[1]LMP IN PPT'!U16,IF(AND('[1]LMP IN PPT'!$A16='[1]LMP IN MST'!$A14,'[1]LMP IN MST'!$Z14="DST",'[1]LMP IN MST'!$AA14="NORM",OR('[1]LMP IN MST'!$AB14="MAR",'[1]LMP IN MST'!$AB14="")),'[1]LMP IN PPT'!T16,0))))))</f>
        <v>-26.055969999999999</v>
      </c>
      <c r="R14">
        <f>IF(AND('[1]LMP IN PPT'!$A16='[1]LMP IN MST'!$A14,'[1]LMP IN MST'!$Z14="ST",'[1]LMP IN MST'!$AA14="NORM",OR('[1]LMP IN MST'!$AB14="MAR",'[1]LMP IN MST'!$AB14="")),'[1]LMP IN PPT'!T16,IF(AND('[1]LMP IN PPT'!$A16='[1]LMP IN MST'!$A14,'[1]LMP IN MST'!$Z14="DST",'[1]LMP IN MST'!$AA14="FB",'[1]LMP IN MST'!$AB14="NOV"),'[1]LMP IN PPT'!U16,IF(AND('[1]LMP IN PPT'!$A16='[1]LMP IN MST'!$A14,'[1]LMP IN MST'!$Z14="ST",'[1]LMP IN MST'!$AA14="NORM",'[1]LMP IN MST'!$AB14="NOV"),'[1]LMP IN PPT'!U16,IF(AND('[1]LMP IN PPT'!$A16='[1]LMP IN MST'!$A14,'[1]LMP IN MST'!$Z14="DST",'[1]LMP IN MST'!$AA14="SF",'[1]LMP IN MST'!$AB14="MAR"),'[1]LMP IN PPT'!U16,IF(AND('[1]LMP IN PPT'!$A16='[1]LMP IN MST'!$A14,'[1]LMP IN MST'!$Z14="DST",'[1]LMP IN MST'!$AA14="NORM",'[1]LMP IN MST'!$AB14="NOV"),'[1]LMP IN PPT'!V16,IF(AND('[1]LMP IN PPT'!$A16='[1]LMP IN MST'!$A14,'[1]LMP IN MST'!$Z14="DST",'[1]LMP IN MST'!$AA14="NORM",OR('[1]LMP IN MST'!$AB14="MAR",'[1]LMP IN MST'!$AB14="")),'[1]LMP IN PPT'!U16,0))))))</f>
        <v>-23.976710000000001</v>
      </c>
      <c r="S14">
        <f>IF(AND('[1]LMP IN PPT'!$A16='[1]LMP IN MST'!$A14,'[1]LMP IN MST'!$Z14="ST",'[1]LMP IN MST'!$AA14="NORM",OR('[1]LMP IN MST'!$AB14="MAR",'[1]LMP IN MST'!$AB14="")),'[1]LMP IN PPT'!U16,IF(AND('[1]LMP IN PPT'!$A16='[1]LMP IN MST'!$A14,'[1]LMP IN MST'!$Z14="DST",'[1]LMP IN MST'!$AA14="FB",'[1]LMP IN MST'!$AB14="NOV"),'[1]LMP IN PPT'!V16,IF(AND('[1]LMP IN PPT'!$A16='[1]LMP IN MST'!$A14,'[1]LMP IN MST'!$Z14="ST",'[1]LMP IN MST'!$AA14="NORM",'[1]LMP IN MST'!$AB14="NOV"),'[1]LMP IN PPT'!V16,IF(AND('[1]LMP IN PPT'!$A16='[1]LMP IN MST'!$A14,'[1]LMP IN MST'!$Z14="DST",'[1]LMP IN MST'!$AA14="SF",'[1]LMP IN MST'!$AB14="MAR"),'[1]LMP IN PPT'!V16,IF(AND('[1]LMP IN PPT'!$A16='[1]LMP IN MST'!$A14,'[1]LMP IN MST'!$Z14="DST",'[1]LMP IN MST'!$AA14="NORM",'[1]LMP IN MST'!$AB14="NOV"),'[1]LMP IN PPT'!W16,IF(AND('[1]LMP IN PPT'!$A16='[1]LMP IN MST'!$A14,'[1]LMP IN MST'!$Z14="DST",'[1]LMP IN MST'!$AA14="NORM",OR('[1]LMP IN MST'!$AB14="MAR",'[1]LMP IN MST'!$AB14="")),'[1]LMP IN PPT'!V16,0))))))</f>
        <v>8.8680900000000005</v>
      </c>
      <c r="T14">
        <f>IF(AND('[1]LMP IN PPT'!$A16='[1]LMP IN MST'!$A14,'[1]LMP IN MST'!$Z14="ST",'[1]LMP IN MST'!$AA14="NORM",OR('[1]LMP IN MST'!$AB14="MAR",'[1]LMP IN MST'!$AB14="")),'[1]LMP IN PPT'!V16,IF(AND('[1]LMP IN PPT'!$A16='[1]LMP IN MST'!$A14,'[1]LMP IN MST'!$Z14="DST",'[1]LMP IN MST'!$AA14="FB",'[1]LMP IN MST'!$AB14="NOV"),'[1]LMP IN PPT'!W16,IF(AND('[1]LMP IN PPT'!$A16='[1]LMP IN MST'!$A14,'[1]LMP IN MST'!$Z14="ST",'[1]LMP IN MST'!$AA14="NORM",'[1]LMP IN MST'!$AB14="NOV"),'[1]LMP IN PPT'!W16,IF(AND('[1]LMP IN PPT'!$A16='[1]LMP IN MST'!$A14,'[1]LMP IN MST'!$Z14="DST",'[1]LMP IN MST'!$AA14="SF",'[1]LMP IN MST'!$AB14="MAR"),'[1]LMP IN PPT'!W16,IF(AND('[1]LMP IN PPT'!$A16='[1]LMP IN MST'!$A14,'[1]LMP IN MST'!$Z14="DST",'[1]LMP IN MST'!$AA14="NORM",'[1]LMP IN MST'!$AB14="NOV"),'[1]LMP IN PPT'!X16,IF(AND('[1]LMP IN PPT'!$A16='[1]LMP IN MST'!$A14,'[1]LMP IN MST'!$Z14="DST",'[1]LMP IN MST'!$AA14="NORM",OR('[1]LMP IN MST'!$AB14="MAR",'[1]LMP IN MST'!$AB14="")),'[1]LMP IN PPT'!W16,0))))))</f>
        <v>39.611559999999997</v>
      </c>
      <c r="U14">
        <f>IF(AND('[1]LMP IN PPT'!$A16='[1]LMP IN MST'!$A14,'[1]LMP IN MST'!$Z14="ST",'[1]LMP IN MST'!$AA14="NORM",OR('[1]LMP IN MST'!$AB14="MAR",'[1]LMP IN MST'!$AB14="")),'[1]LMP IN PPT'!W16,IF(AND('[1]LMP IN PPT'!$A16='[1]LMP IN MST'!$A14,'[1]LMP IN MST'!$Z14="DST",'[1]LMP IN MST'!$AA14="FB",'[1]LMP IN MST'!$AB14="NOV"),'[1]LMP IN PPT'!X16,IF(AND('[1]LMP IN PPT'!$A16='[1]LMP IN MST'!$A14,'[1]LMP IN MST'!$Z14="ST",'[1]LMP IN MST'!$AA14="NORM",'[1]LMP IN MST'!$AB14="NOV"),'[1]LMP IN PPT'!X16,IF(AND('[1]LMP IN PPT'!$A16='[1]LMP IN MST'!$A14,'[1]LMP IN MST'!$Z14="DST",'[1]LMP IN MST'!$AA14="SF",'[1]LMP IN MST'!$AB14="MAR"),'[1]LMP IN PPT'!X16,IF(AND('[1]LMP IN PPT'!$A16='[1]LMP IN MST'!$A14,'[1]LMP IN MST'!$Z14="DST",'[1]LMP IN MST'!$AA14="NORM",'[1]LMP IN MST'!$AB14="NOV"),'[1]LMP IN PPT'!Y16,IF(AND('[1]LMP IN PPT'!$A16='[1]LMP IN MST'!$A14,'[1]LMP IN MST'!$Z14="DST",'[1]LMP IN MST'!$AA14="NORM",OR('[1]LMP IN MST'!$AB14="MAR",'[1]LMP IN MST'!$AB14="")),'[1]LMP IN PPT'!X16,0))))))</f>
        <v>42.998220000000003</v>
      </c>
      <c r="V14">
        <f>IF(AND('[1]LMP IN PPT'!$A16='[1]LMP IN MST'!$A14,'[1]LMP IN MST'!$Z14="ST",'[1]LMP IN MST'!$AA14="NORM",OR('[1]LMP IN MST'!$AB14="MAR",'[1]LMP IN MST'!$AB14="")),'[1]LMP IN PPT'!X16,IF(AND('[1]LMP IN PPT'!$A16='[1]LMP IN MST'!$A14,'[1]LMP IN MST'!$Z14="DST",'[1]LMP IN MST'!$AA14="FB",'[1]LMP IN MST'!$AB14="NOV"),'[1]LMP IN PPT'!Y16,IF(AND('[1]LMP IN PPT'!$A16='[1]LMP IN MST'!$A14,'[1]LMP IN MST'!$Z14="ST",'[1]LMP IN MST'!$AA14="NORM",'[1]LMP IN MST'!$AB14="NOV"),'[1]LMP IN PPT'!Y16,IF(AND('[1]LMP IN PPT'!$A16='[1]LMP IN MST'!$A14,'[1]LMP IN MST'!$Z14="DST",'[1]LMP IN MST'!$AA14="SF",'[1]LMP IN MST'!$AB14="MAR"),'[1]LMP IN PPT'!Y16,IF(AND('[1]LMP IN PPT'!$A16='[1]LMP IN MST'!$A14,'[1]LMP IN MST'!$Z14="DST",'[1]LMP IN MST'!$AA14="NORM",'[1]LMP IN MST'!$AB14="NOV"),'[1]LMP IN PPT'!Z16,IF(AND('[1]LMP IN PPT'!$A16='[1]LMP IN MST'!$A14,'[1]LMP IN MST'!$Z14="DST",'[1]LMP IN MST'!$AA14="NORM",OR('[1]LMP IN MST'!$AB14="MAR",'[1]LMP IN MST'!$AB14="")),'[1]LMP IN PPT'!Y16,0))))))</f>
        <v>42.806600000000003</v>
      </c>
      <c r="W14">
        <f>IF(AND('[1]LMP IN PPT'!$A16='[1]LMP IN MST'!$A14,'[1]LMP IN MST'!$Z14="ST",'[1]LMP IN MST'!$AA14="NORM",OR('[1]LMP IN MST'!$AB14="MAR",'[1]LMP IN MST'!$AB14="")),'[1]LMP IN PPT'!Y16,IF(AND('[1]LMP IN PPT'!$A16='[1]LMP IN MST'!$A14,'[1]LMP IN MST'!$Z14="DST",'[1]LMP IN MST'!$AA14="FB",'[1]LMP IN MST'!$AB14="NOV"),'[1]LMP IN PPT'!Z16,IF(AND('[1]LMP IN PPT'!$A16='[1]LMP IN MST'!$A14,'[1]LMP IN MST'!$Z14="ST",'[1]LMP IN MST'!$AA14="NORM",'[1]LMP IN MST'!$AB14="NOV"),'[1]LMP IN PPT'!Z16,IF(AND('[1]LMP IN PPT'!$A16='[1]LMP IN MST'!$A14,'[1]LMP IN MST'!$Z14="DST",'[1]LMP IN MST'!$AA14="SF",'[1]LMP IN MST'!$AB14="MAR"),'[1]LMP IN PPT'!Z16,IF(AND('[1]LMP IN PPT'!$A16='[1]LMP IN MST'!$A14,'[1]LMP IN MST'!$Z14="DST",'[1]LMP IN MST'!$AA14="NORM",'[1]LMP IN MST'!$AB14="NOV"),'[1]LMP IN PPT'!AA16,IF(AND('[1]LMP IN PPT'!$A16='[1]LMP IN MST'!$A14,'[1]LMP IN MST'!$Z14="DST",'[1]LMP IN MST'!$AA14="NORM",OR('[1]LMP IN MST'!$AB14="MAR",'[1]LMP IN MST'!$AB14="")),'[1]LMP IN PPT'!Z16,0))))))</f>
        <v>39.568890000000003</v>
      </c>
      <c r="X14">
        <f>IF(AND('[1]LMP IN PPT'!$A16='[1]LMP IN MST'!$A14,'[1]LMP IN MST'!$Z14="ST",'[1]LMP IN MST'!$AA14="NORM",OR('[1]LMP IN MST'!$AB14="MAR",'[1]LMP IN MST'!$AB14="")),'[1]LMP IN PPT'!Z16,IF(AND('[1]LMP IN PPT'!$A16='[1]LMP IN MST'!$A14,'[1]LMP IN MST'!$Z14="DST",'[1]LMP IN MST'!$AA14="FB",'[1]LMP IN MST'!$AB14="NOV"),'[1]LMP IN PPT'!AA16,IF(AND('[1]LMP IN PPT'!$A16='[1]LMP IN MST'!$A14,'[1]LMP IN MST'!$Z14="ST",'[1]LMP IN MST'!$AA14="NORM",'[1]LMP IN MST'!$AB14="NOV"),'[1]LMP IN PPT'!AA16,IF(AND('[1]LMP IN PPT'!$A16='[1]LMP IN MST'!$A14,'[1]LMP IN MST'!$Z14="DST",'[1]LMP IN MST'!$AA14="SF",'[1]LMP IN MST'!$AB14="MAR"),'[1]LMP IN PPT'!AA16,IF(AND('[1]LMP IN PPT'!$A16='[1]LMP IN MST'!$A14,'[1]LMP IN MST'!$Z14="DST",'[1]LMP IN MST'!$AA14="NORM",'[1]LMP IN MST'!$AB14="NOV"),'[1]LMP IN PPT'!AB16,IF(AND('[1]LMP IN PPT'!$A16='[1]LMP IN MST'!$A14,'[1]LMP IN MST'!$Z14="DST",'[1]LMP IN MST'!$AA14="NORM",OR('[1]LMP IN MST'!$AB14="MAR",'[1]LMP IN MST'!$AB14="")),'[1]LMP IN PPT'!AA16,0))))))</f>
        <v>39.132289999999998</v>
      </c>
      <c r="Y14">
        <f>IF(AND('[1]LMP IN PPT'!$A16='[1]LMP IN MST'!$A14,'[1]LMP IN MST'!$Z14="ST",'[1]LMP IN MST'!$AA14="NORM",OR('[1]LMP IN MST'!$AB14="MAR",'[1]LMP IN MST'!$AB14="")),'[1]LMP IN PPT'!AA16,IF(AND('[1]LMP IN PPT'!$A16='[1]LMP IN MST'!$A14,'[1]LMP IN MST'!$Z14="DST",'[1]LMP IN MST'!$AA14="FB",'[1]LMP IN MST'!$AB14="NOV"),'[1]LMP IN PPT'!AB16,IF(AND('[1]LMP IN PPT'!$A16='[1]LMP IN MST'!$A14,'[1]LMP IN MST'!$Z14="ST",'[1]LMP IN MST'!$AA14="NORM",'[1]LMP IN MST'!$AB14="NOV"),'[1]LMP IN PPT'!AB16,IF(AND('[1]LMP IN PPT'!$A16='[1]LMP IN MST'!$A14,'[1]LMP IN MST'!$Z14="DST",'[1]LMP IN MST'!$AA14="SF",'[1]LMP IN MST'!$AB14="MAR"),'[1]LMP IN PPT'!AB16,IF(AND('[1]LMP IN PPT'!$A16='[1]LMP IN MST'!$A14,'[1]LMP IN MST'!$Z14="DST",'[1]LMP IN MST'!$AA14="NORM",'[1]LMP IN MST'!$AB14="NOV"),'[1]LMP IN PPT'!AC16,IF(AND('[1]LMP IN PPT'!$A16='[1]LMP IN MST'!$A14,'[1]LMP IN MST'!$Z14="DST",'[1]LMP IN MST'!$AA14="NORM",OR('[1]LMP IN MST'!$AB14="MAR",'[1]LMP IN MST'!$AB14="")),'[1]LMP IN PPT'!AB16,0))))))</f>
        <v>38.264150000000001</v>
      </c>
    </row>
    <row r="15" spans="1:25" x14ac:dyDescent="0.3">
      <c r="A15" s="1">
        <f t="shared" si="0"/>
        <v>45365</v>
      </c>
      <c r="B15">
        <f>IF(AND('[1]LMP IN PPT'!$A17='[1]LMP IN MST'!$A15,'[1]LMP IN MST'!$Z15="ST",'[1]LMP IN MST'!$AA15="NORM",'[1]LMP IN MST'!$AB15="NOV"),'[1]LMP IN PPT'!AC16,IF(AND('[1]LMP IN PPT'!$A17='[1]LMP IN MST'!$A15,'[1]LMP IN MST'!$Z15="ST",'[1]LMP IN MST'!$AA15="NORM",'[1]LMP IN MST'!$AB15="MAR"),'[1]LMP IN PPT'!AB16,IF(AND('[1]LMP IN PPT'!$A17='[1]LMP IN MST'!$A15,'[1]LMP IN MST'!$Z15="ST",'[1]LMP IN MST'!$AA15="NORM",'[1]LMP IN MST'!$AB15=""),'[1]LMP IN PPT'!AB16,IF(AND('[1]LMP IN PPT'!$A17='[1]LMP IN MST'!$A15,'[1]LMP IN MST'!$Z15="DST",'[1]LMP IN MST'!$AA15="FB",'[1]LMP IN MST'!$AB15="NOV"),'[1]LMP IN PPT'!E17,IF(AND('[1]LMP IN PPT'!$A17='[1]LMP IN MST'!$A15,'[1]LMP IN MST'!$Z15="DST",'[1]LMP IN MST'!$AA15="SF",'[1]LMP IN MST'!$AB15="MAR"),'[1]LMP IN PPT'!AB16,IF(AND('[1]LMP IN PPT'!$A17='[1]LMP IN MST'!$A15,'[1]LMP IN MST'!$Z15="DST",'[1]LMP IN MST'!$AA15="NORM",OR('[1]LMP IN MST'!$AB15="MAR",'[1]LMP IN MST'!$AB15="",'[1]LMP IN MST'!$AB15="NOV")),'[1]LMP IN PPT'!E17,0))))))</f>
        <v>39.539729999999999</v>
      </c>
      <c r="C15">
        <f>IF(AND('[1]LMP IN PPT'!$A17='[1]LMP IN MST'!$A15,'[1]LMP IN MST'!$Z15="ST",'[1]LMP IN MST'!$AA15="NORM",OR('[1]LMP IN MST'!$AB15="NOV",'[1]LMP IN MST'!$AB15="MAR",'[1]LMP IN MST'!$AB15="")),'[1]LMP IN PPT'!E17,IF(AND('[1]LMP IN PPT'!$A17='[1]LMP IN MST'!$A15,'[1]LMP IN MST'!$Z15="DST",'[1]LMP IN MST'!$AA15="FB",'[1]LMP IN MST'!$AB15="NOV"),'[1]LMP IN PPT'!F17,IF(AND('[1]LMP IN PPT'!$A17='[1]LMP IN MST'!$A15,'[1]LMP IN MST'!$Z15="DST",'[1]LMP IN MST'!$AA15="SF",'[1]LMP IN MST'!$AB15="MAR"),'[1]LMP IN PPT'!E17,IF(AND('[1]LMP IN PPT'!$A17='[1]LMP IN MST'!$A15,'[1]LMP IN MST'!$Z15="DST",'[1]LMP IN MST'!$AA15="NORM",OR('[1]LMP IN MST'!$AB15="MAR",'[1]LMP IN MST'!$AB15="",'[1]LMP IN MST'!$AB15="NOV")),'[1]LMP IN PPT'!F17,0))))</f>
        <v>39.548909999999999</v>
      </c>
      <c r="D15">
        <f>IF(AND('[1]LMP IN PPT'!$A17='[1]LMP IN MST'!$A15,'[1]LMP IN MST'!$Z15="ST",'[1]LMP IN MST'!$AA15="NORM",OR('[1]LMP IN MST'!$AB15="NOV",'[1]LMP IN MST'!$AB15="MAR",'[1]LMP IN MST'!$AB15="")),'[1]LMP IN PPT'!F17,IF(AND('[1]LMP IN PPT'!$A17='[1]LMP IN MST'!$A15,'[1]LMP IN MST'!$Z15="DST",'[1]LMP IN MST'!$AA15="FB",'[1]LMP IN MST'!$AB15="NOV"),'[1]LMP IN PPT'!G17,IF(AND('[1]LMP IN PPT'!$A17='[1]LMP IN MST'!$A15,'[1]LMP IN MST'!$Z15="DST",'[1]LMP IN MST'!$AA15="SF",'[1]LMP IN MST'!$AB15="MAR"),'[1]LMP IN PPT'!F17,IF(AND('[1]LMP IN PPT'!$A17='[1]LMP IN MST'!$A15,'[1]LMP IN MST'!$Z15="DST",'[1]LMP IN MST'!$AA15="NORM",'[1]LMP IN MST'!$AB15="NOV"),'[1]LMP IN PPT'!H17,IF(AND('[1]LMP IN PPT'!$A17='[1]LMP IN MST'!$A15,'[1]LMP IN MST'!$Z15="DST",'[1]LMP IN MST'!$AA15="NORM",OR('[1]LMP IN MST'!$AB15="MAR",'[1]LMP IN MST'!$AB15="")),'[1]LMP IN PPT'!G17,0)))))</f>
        <v>33.013770000000001</v>
      </c>
      <c r="E15">
        <f>IF(AND('[1]LMP IN PPT'!$A17='[1]LMP IN MST'!$A15,'[1]LMP IN MST'!$Z15="ST",'[1]LMP IN MST'!$AA15="NORM",OR('[1]LMP IN MST'!$AB15="MAR",'[1]LMP IN MST'!$AB15="")),'[1]LMP IN PPT'!G17,IF(AND('[1]LMP IN PPT'!$A17='[1]LMP IN MST'!$A15,'[1]LMP IN MST'!$Z15="DST",'[1]LMP IN MST'!$AA15="FB",'[1]LMP IN MST'!$AB15="NOV"),'[1]LMP IN PPT'!H17,IF(AND('[1]LMP IN PPT'!$A17='[1]LMP IN MST'!$A15,'[1]LMP IN MST'!$Z15="ST",'[1]LMP IN MST'!$AA15="NORM",'[1]LMP IN MST'!$AB15="NOV"),'[1]LMP IN PPT'!H17,IF(AND('[1]LMP IN PPT'!$A17='[1]LMP IN MST'!$A15,'[1]LMP IN MST'!$Z15="DST",'[1]LMP IN MST'!$AA15="SF",'[1]LMP IN MST'!$AB15="MAR"),'[1]LMP IN PPT'!H17,IF(AND('[1]LMP IN PPT'!$A17='[1]LMP IN MST'!$A15,'[1]LMP IN MST'!$Z15="DST",'[1]LMP IN MST'!$AA15="NORM",'[1]LMP IN MST'!$AB15="NOV"),'[1]LMP IN PPT'!I17,IF(AND('[1]LMP IN PPT'!$A17='[1]LMP IN MST'!$A15,'[1]LMP IN MST'!$Z15="DST",'[1]LMP IN MST'!$AA15="NORM",OR('[1]LMP IN MST'!$AB15="MAR",'[1]LMP IN MST'!$AB15="")),'[1]LMP IN PPT'!H17,0))))))</f>
        <v>39.203400000000002</v>
      </c>
      <c r="F15">
        <f>IF(AND('[1]LMP IN PPT'!$A17='[1]LMP IN MST'!$A15,'[1]LMP IN MST'!$Z15="ST",'[1]LMP IN MST'!$AA15="NORM",OR('[1]LMP IN MST'!$AB15="MAR",'[1]LMP IN MST'!$AB15="")),'[1]LMP IN PPT'!H17,IF(AND('[1]LMP IN PPT'!$A17='[1]LMP IN MST'!$A15,'[1]LMP IN MST'!$Z15="DST",'[1]LMP IN MST'!$AA15="FB",'[1]LMP IN MST'!$AB15="NOV"),'[1]LMP IN PPT'!I17,IF(AND('[1]LMP IN PPT'!$A17='[1]LMP IN MST'!$A15,'[1]LMP IN MST'!$Z15="ST",'[1]LMP IN MST'!$AA15="NORM",'[1]LMP IN MST'!$AB15="NOV"),'[1]LMP IN PPT'!I17,IF(AND('[1]LMP IN PPT'!$A17='[1]LMP IN MST'!$A15,'[1]LMP IN MST'!$Z15="DST",'[1]LMP IN MST'!$AA15="SF",'[1]LMP IN MST'!$AB15="MAR"),'[1]LMP IN PPT'!I17,IF(AND('[1]LMP IN PPT'!$A17='[1]LMP IN MST'!$A15,'[1]LMP IN MST'!$Z15="DST",'[1]LMP IN MST'!$AA15="NORM",'[1]LMP IN MST'!$AB15="NOV"),'[1]LMP IN PPT'!J17,IF(AND('[1]LMP IN PPT'!$A17='[1]LMP IN MST'!$A15,'[1]LMP IN MST'!$Z15="DST",'[1]LMP IN MST'!$AA15="NORM",OR('[1]LMP IN MST'!$AB15="MAR",'[1]LMP IN MST'!$AB15="")),'[1]LMP IN PPT'!I17,0))))))</f>
        <v>37.790030000000002</v>
      </c>
      <c r="G15">
        <f>IF(AND('[1]LMP IN PPT'!$A17='[1]LMP IN MST'!$A15,'[1]LMP IN MST'!$Z15="ST",'[1]LMP IN MST'!$AA15="NORM",OR('[1]LMP IN MST'!$AB15="MAR",'[1]LMP IN MST'!$AB15="")),'[1]LMP IN PPT'!I17,IF(AND('[1]LMP IN PPT'!$A17='[1]LMP IN MST'!$A15,'[1]LMP IN MST'!$Z15="DST",'[1]LMP IN MST'!$AA15="FB",'[1]LMP IN MST'!$AB15="NOV"),'[1]LMP IN PPT'!J17,IF(AND('[1]LMP IN PPT'!$A17='[1]LMP IN MST'!$A15,'[1]LMP IN MST'!$Z15="ST",'[1]LMP IN MST'!$AA15="NORM",'[1]LMP IN MST'!$AB15="NOV"),'[1]LMP IN PPT'!J17,IF(AND('[1]LMP IN PPT'!$A17='[1]LMP IN MST'!$A15,'[1]LMP IN MST'!$Z15="DST",'[1]LMP IN MST'!$AA15="SF",'[1]LMP IN MST'!$AB15="MAR"),'[1]LMP IN PPT'!J17,IF(AND('[1]LMP IN PPT'!$A17='[1]LMP IN MST'!$A15,'[1]LMP IN MST'!$Z15="DST",'[1]LMP IN MST'!$AA15="NORM",'[1]LMP IN MST'!$AB15="NOV"),'[1]LMP IN PPT'!K17,IF(AND('[1]LMP IN PPT'!$A17='[1]LMP IN MST'!$A15,'[1]LMP IN MST'!$Z15="DST",'[1]LMP IN MST'!$AA15="NORM",OR('[1]LMP IN MST'!$AB15="MAR",'[1]LMP IN MST'!$AB15="")),'[1]LMP IN PPT'!J17,0))))))</f>
        <v>40.161000000000001</v>
      </c>
      <c r="H15">
        <f>IF(AND('[1]LMP IN PPT'!$A17='[1]LMP IN MST'!$A15,'[1]LMP IN MST'!$Z15="ST",'[1]LMP IN MST'!$AA15="NORM",OR('[1]LMP IN MST'!$AB15="MAR",'[1]LMP IN MST'!$AB15="")),'[1]LMP IN PPT'!J17,IF(AND('[1]LMP IN PPT'!$A17='[1]LMP IN MST'!$A15,'[1]LMP IN MST'!$Z15="DST",'[1]LMP IN MST'!$AA15="FB",'[1]LMP IN MST'!$AB15="NOV"),'[1]LMP IN PPT'!K17,IF(AND('[1]LMP IN PPT'!$A17='[1]LMP IN MST'!$A15,'[1]LMP IN MST'!$Z15="ST",'[1]LMP IN MST'!$AA15="NORM",'[1]LMP IN MST'!$AB15="NOV"),'[1]LMP IN PPT'!K17,IF(AND('[1]LMP IN PPT'!$A17='[1]LMP IN MST'!$A15,'[1]LMP IN MST'!$Z15="DST",'[1]LMP IN MST'!$AA15="SF",'[1]LMP IN MST'!$AB15="MAR"),'[1]LMP IN PPT'!K17,IF(AND('[1]LMP IN PPT'!$A17='[1]LMP IN MST'!$A15,'[1]LMP IN MST'!$Z15="DST",'[1]LMP IN MST'!$AA15="NORM",'[1]LMP IN MST'!$AB15="NOV"),'[1]LMP IN PPT'!L17,IF(AND('[1]LMP IN PPT'!$A17='[1]LMP IN MST'!$A15,'[1]LMP IN MST'!$Z15="DST",'[1]LMP IN MST'!$AA15="NORM",OR('[1]LMP IN MST'!$AB15="MAR",'[1]LMP IN MST'!$AB15="")),'[1]LMP IN PPT'!K17,0))))))</f>
        <v>49.365830000000003</v>
      </c>
      <c r="I15">
        <f>IF(AND('[1]LMP IN PPT'!$A17='[1]LMP IN MST'!$A15,'[1]LMP IN MST'!$Z15="ST",'[1]LMP IN MST'!$AA15="NORM",OR('[1]LMP IN MST'!$AB15="MAR",'[1]LMP IN MST'!$AB15="")),'[1]LMP IN PPT'!K17,IF(AND('[1]LMP IN PPT'!$A17='[1]LMP IN MST'!$A15,'[1]LMP IN MST'!$Z15="DST",'[1]LMP IN MST'!$AA15="FB",'[1]LMP IN MST'!$AB15="NOV"),'[1]LMP IN PPT'!L17,IF(AND('[1]LMP IN PPT'!$A17='[1]LMP IN MST'!$A15,'[1]LMP IN MST'!$Z15="ST",'[1]LMP IN MST'!$AA15="NORM",'[1]LMP IN MST'!$AB15="NOV"),'[1]LMP IN PPT'!L17,IF(AND('[1]LMP IN PPT'!$A17='[1]LMP IN MST'!$A15,'[1]LMP IN MST'!$Z15="DST",'[1]LMP IN MST'!$AA15="SF",'[1]LMP IN MST'!$AB15="MAR"),'[1]LMP IN PPT'!L17,IF(AND('[1]LMP IN PPT'!$A17='[1]LMP IN MST'!$A15,'[1]LMP IN MST'!$Z15="DST",'[1]LMP IN MST'!$AA15="NORM",'[1]LMP IN MST'!$AB15="NOV"),'[1]LMP IN PPT'!M17,IF(AND('[1]LMP IN PPT'!$A17='[1]LMP IN MST'!$A15,'[1]LMP IN MST'!$Z15="DST",'[1]LMP IN MST'!$AA15="NORM",OR('[1]LMP IN MST'!$AB15="MAR",'[1]LMP IN MST'!$AB15="")),'[1]LMP IN PPT'!L17,0))))))</f>
        <v>46.792769999999997</v>
      </c>
      <c r="J15">
        <f>IF(AND('[1]LMP IN PPT'!$A17='[1]LMP IN MST'!$A15,'[1]LMP IN MST'!$Z15="ST",'[1]LMP IN MST'!$AA15="NORM",OR('[1]LMP IN MST'!$AB15="MAR",'[1]LMP IN MST'!$AB15="")),'[1]LMP IN PPT'!L17,IF(AND('[1]LMP IN PPT'!$A17='[1]LMP IN MST'!$A15,'[1]LMP IN MST'!$Z15="DST",'[1]LMP IN MST'!$AA15="FB",'[1]LMP IN MST'!$AB15="NOV"),'[1]LMP IN PPT'!M17,IF(AND('[1]LMP IN PPT'!$A17='[1]LMP IN MST'!$A15,'[1]LMP IN MST'!$Z15="ST",'[1]LMP IN MST'!$AA15="NORM",'[1]LMP IN MST'!$AB15="NOV"),'[1]LMP IN PPT'!M17,IF(AND('[1]LMP IN PPT'!$A17='[1]LMP IN MST'!$A15,'[1]LMP IN MST'!$Z15="DST",'[1]LMP IN MST'!$AA15="SF",'[1]LMP IN MST'!$AB15="MAR"),'[1]LMP IN PPT'!M17,IF(AND('[1]LMP IN PPT'!$A17='[1]LMP IN MST'!$A15,'[1]LMP IN MST'!$Z15="DST",'[1]LMP IN MST'!$AA15="NORM",'[1]LMP IN MST'!$AB15="NOV"),'[1]LMP IN PPT'!N17,IF(AND('[1]LMP IN PPT'!$A17='[1]LMP IN MST'!$A15,'[1]LMP IN MST'!$Z15="DST",'[1]LMP IN MST'!$AA15="NORM",OR('[1]LMP IN MST'!$AB15="MAR",'[1]LMP IN MST'!$AB15="")),'[1]LMP IN PPT'!M17,0))))))</f>
        <v>23.45185</v>
      </c>
      <c r="K15">
        <f>IF(AND('[1]LMP IN PPT'!$A17='[1]LMP IN MST'!$A15,'[1]LMP IN MST'!$Z15="ST",'[1]LMP IN MST'!$AA15="NORM",OR('[1]LMP IN MST'!$AB15="MAR",'[1]LMP IN MST'!$AB15="")),'[1]LMP IN PPT'!M17,IF(AND('[1]LMP IN PPT'!$A17='[1]LMP IN MST'!$A15,'[1]LMP IN MST'!$Z15="DST",'[1]LMP IN MST'!$AA15="FB",'[1]LMP IN MST'!$AB15="NOV"),'[1]LMP IN PPT'!N17,IF(AND('[1]LMP IN PPT'!$A17='[1]LMP IN MST'!$A15,'[1]LMP IN MST'!$Z15="ST",'[1]LMP IN MST'!$AA15="NORM",'[1]LMP IN MST'!$AB15="NOV"),'[1]LMP IN PPT'!N17,IF(AND('[1]LMP IN PPT'!$A17='[1]LMP IN MST'!$A15,'[1]LMP IN MST'!$Z15="DST",'[1]LMP IN MST'!$AA15="SF",'[1]LMP IN MST'!$AB15="MAR"),'[1]LMP IN PPT'!N17,IF(AND('[1]LMP IN PPT'!$A17='[1]LMP IN MST'!$A15,'[1]LMP IN MST'!$Z15="DST",'[1]LMP IN MST'!$AA15="NORM",'[1]LMP IN MST'!$AB15="NOV"),'[1]LMP IN PPT'!O17,IF(AND('[1]LMP IN PPT'!$A17='[1]LMP IN MST'!$A15,'[1]LMP IN MST'!$Z15="DST",'[1]LMP IN MST'!$AA15="NORM",OR('[1]LMP IN MST'!$AB15="MAR",'[1]LMP IN MST'!$AB15="")),'[1]LMP IN PPT'!N17,0))))))</f>
        <v>-7.54338</v>
      </c>
      <c r="L15">
        <f>IF(AND('[1]LMP IN PPT'!$A17='[1]LMP IN MST'!$A15,'[1]LMP IN MST'!$Z15="ST",'[1]LMP IN MST'!$AA15="NORM",OR('[1]LMP IN MST'!$AB15="MAR",'[1]LMP IN MST'!$AB15="")),'[1]LMP IN PPT'!N17,IF(AND('[1]LMP IN PPT'!$A17='[1]LMP IN MST'!$A15,'[1]LMP IN MST'!$Z15="DST",'[1]LMP IN MST'!$AA15="FB",'[1]LMP IN MST'!$AB15="NOV"),'[1]LMP IN PPT'!O17,IF(AND('[1]LMP IN PPT'!$A17='[1]LMP IN MST'!$A15,'[1]LMP IN MST'!$Z15="ST",'[1]LMP IN MST'!$AA15="NORM",'[1]LMP IN MST'!$AB15="NOV"),'[1]LMP IN PPT'!O17,IF(AND('[1]LMP IN PPT'!$A17='[1]LMP IN MST'!$A15,'[1]LMP IN MST'!$Z15="DST",'[1]LMP IN MST'!$AA15="SF",'[1]LMP IN MST'!$AB15="MAR"),'[1]LMP IN PPT'!O17,IF(AND('[1]LMP IN PPT'!$A17='[1]LMP IN MST'!$A15,'[1]LMP IN MST'!$Z15="DST",'[1]LMP IN MST'!$AA15="NORM",'[1]LMP IN MST'!$AB15="NOV"),'[1]LMP IN PPT'!P17,IF(AND('[1]LMP IN PPT'!$A17='[1]LMP IN MST'!$A15,'[1]LMP IN MST'!$Z15="DST",'[1]LMP IN MST'!$AA15="NORM",OR('[1]LMP IN MST'!$AB15="MAR",'[1]LMP IN MST'!$AB15="")),'[1]LMP IN PPT'!O17,0))))))</f>
        <v>-18.7211</v>
      </c>
      <c r="M15">
        <f>IF(AND('[1]LMP IN PPT'!$A17='[1]LMP IN MST'!$A15,'[1]LMP IN MST'!$Z15="ST",'[1]LMP IN MST'!$AA15="NORM",OR('[1]LMP IN MST'!$AB15="MAR",'[1]LMP IN MST'!$AB15="")),'[1]LMP IN PPT'!O17,IF(AND('[1]LMP IN PPT'!$A17='[1]LMP IN MST'!$A15,'[1]LMP IN MST'!$Z15="DST",'[1]LMP IN MST'!$AA15="FB",'[1]LMP IN MST'!$AB15="NOV"),'[1]LMP IN PPT'!P17,IF(AND('[1]LMP IN PPT'!$A17='[1]LMP IN MST'!$A15,'[1]LMP IN MST'!$Z15="ST",'[1]LMP IN MST'!$AA15="NORM",'[1]LMP IN MST'!$AB15="NOV"),'[1]LMP IN PPT'!P17,IF(AND('[1]LMP IN PPT'!$A17='[1]LMP IN MST'!$A15,'[1]LMP IN MST'!$Z15="DST",'[1]LMP IN MST'!$AA15="SF",'[1]LMP IN MST'!$AB15="MAR"),'[1]LMP IN PPT'!P17,IF(AND('[1]LMP IN PPT'!$A17='[1]LMP IN MST'!$A15,'[1]LMP IN MST'!$Z15="DST",'[1]LMP IN MST'!$AA15="NORM",'[1]LMP IN MST'!$AB15="NOV"),'[1]LMP IN PPT'!Q17,IF(AND('[1]LMP IN PPT'!$A17='[1]LMP IN MST'!$A15,'[1]LMP IN MST'!$Z15="DST",'[1]LMP IN MST'!$AA15="NORM",OR('[1]LMP IN MST'!$AB15="MAR",'[1]LMP IN MST'!$AB15="")),'[1]LMP IN PPT'!P17,0))))))</f>
        <v>-21.730920000000001</v>
      </c>
      <c r="N15">
        <f>IF(AND('[1]LMP IN PPT'!$A17='[1]LMP IN MST'!$A15,'[1]LMP IN MST'!$Z15="ST",'[1]LMP IN MST'!$AA15="NORM",OR('[1]LMP IN MST'!$AB15="MAR",'[1]LMP IN MST'!$AB15="")),'[1]LMP IN PPT'!P17,IF(AND('[1]LMP IN PPT'!$A17='[1]LMP IN MST'!$A15,'[1]LMP IN MST'!$Z15="DST",'[1]LMP IN MST'!$AA15="FB",'[1]LMP IN MST'!$AB15="NOV"),'[1]LMP IN PPT'!Q17,IF(AND('[1]LMP IN PPT'!$A17='[1]LMP IN MST'!$A15,'[1]LMP IN MST'!$Z15="ST",'[1]LMP IN MST'!$AA15="NORM",'[1]LMP IN MST'!$AB15="NOV"),'[1]LMP IN PPT'!Q17,IF(AND('[1]LMP IN PPT'!$A17='[1]LMP IN MST'!$A15,'[1]LMP IN MST'!$Z15="DST",'[1]LMP IN MST'!$AA15="SF",'[1]LMP IN MST'!$AB15="MAR"),'[1]LMP IN PPT'!Q17,IF(AND('[1]LMP IN PPT'!$A17='[1]LMP IN MST'!$A15,'[1]LMP IN MST'!$Z15="DST",'[1]LMP IN MST'!$AA15="NORM",'[1]LMP IN MST'!$AB15="NOV"),'[1]LMP IN PPT'!R17,IF(AND('[1]LMP IN PPT'!$A17='[1]LMP IN MST'!$A15,'[1]LMP IN MST'!$Z15="DST",'[1]LMP IN MST'!$AA15="NORM",OR('[1]LMP IN MST'!$AB15="MAR",'[1]LMP IN MST'!$AB15="")),'[1]LMP IN PPT'!Q17,0))))))</f>
        <v>-23.07516</v>
      </c>
      <c r="O15">
        <f>IF(AND('[1]LMP IN PPT'!$A17='[1]LMP IN MST'!$A15,'[1]LMP IN MST'!$Z15="ST",'[1]LMP IN MST'!$AA15="NORM",OR('[1]LMP IN MST'!$AB15="MAR",'[1]LMP IN MST'!$AB15="")),'[1]LMP IN PPT'!Q17,IF(AND('[1]LMP IN PPT'!$A17='[1]LMP IN MST'!$A15,'[1]LMP IN MST'!$Z15="DST",'[1]LMP IN MST'!$AA15="FB",'[1]LMP IN MST'!$AB15="NOV"),'[1]LMP IN PPT'!R17,IF(AND('[1]LMP IN PPT'!$A17='[1]LMP IN MST'!$A15,'[1]LMP IN MST'!$Z15="ST",'[1]LMP IN MST'!$AA15="NORM",'[1]LMP IN MST'!$AB15="NOV"),'[1]LMP IN PPT'!R17,IF(AND('[1]LMP IN PPT'!$A17='[1]LMP IN MST'!$A15,'[1]LMP IN MST'!$Z15="DST",'[1]LMP IN MST'!$AA15="SF",'[1]LMP IN MST'!$AB15="MAR"),'[1]LMP IN PPT'!R17,IF(AND('[1]LMP IN PPT'!$A17='[1]LMP IN MST'!$A15,'[1]LMP IN MST'!$Z15="DST",'[1]LMP IN MST'!$AA15="NORM",'[1]LMP IN MST'!$AB15="NOV"),'[1]LMP IN PPT'!S17,IF(AND('[1]LMP IN PPT'!$A17='[1]LMP IN MST'!$A15,'[1]LMP IN MST'!$Z15="DST",'[1]LMP IN MST'!$AA15="NORM",OR('[1]LMP IN MST'!$AB15="MAR",'[1]LMP IN MST'!$AB15="")),'[1]LMP IN PPT'!R17,0))))))</f>
        <v>-23.695319999999999</v>
      </c>
      <c r="P15">
        <f>IF(AND('[1]LMP IN PPT'!$A17='[1]LMP IN MST'!$A15,'[1]LMP IN MST'!$Z15="ST",'[1]LMP IN MST'!$AA15="NORM",OR('[1]LMP IN MST'!$AB15="MAR",'[1]LMP IN MST'!$AB15="")),'[1]LMP IN PPT'!R17,IF(AND('[1]LMP IN PPT'!$A17='[1]LMP IN MST'!$A15,'[1]LMP IN MST'!$Z15="DST",'[1]LMP IN MST'!$AA15="FB",'[1]LMP IN MST'!$AB15="NOV"),'[1]LMP IN PPT'!S17,IF(AND('[1]LMP IN PPT'!$A17='[1]LMP IN MST'!$A15,'[1]LMP IN MST'!$Z15="ST",'[1]LMP IN MST'!$AA15="NORM",'[1]LMP IN MST'!$AB15="NOV"),'[1]LMP IN PPT'!S17,IF(AND('[1]LMP IN PPT'!$A17='[1]LMP IN MST'!$A15,'[1]LMP IN MST'!$Z15="DST",'[1]LMP IN MST'!$AA15="SF",'[1]LMP IN MST'!$AB15="MAR"),'[1]LMP IN PPT'!S17,IF(AND('[1]LMP IN PPT'!$A17='[1]LMP IN MST'!$A15,'[1]LMP IN MST'!$Z15="DST",'[1]LMP IN MST'!$AA15="NORM",'[1]LMP IN MST'!$AB15="NOV"),'[1]LMP IN PPT'!T17,IF(AND('[1]LMP IN PPT'!$A17='[1]LMP IN MST'!$A15,'[1]LMP IN MST'!$Z15="DST",'[1]LMP IN MST'!$AA15="NORM",OR('[1]LMP IN MST'!$AB15="MAR",'[1]LMP IN MST'!$AB15="")),'[1]LMP IN PPT'!S17,0))))))</f>
        <v>-22.072089999999999</v>
      </c>
      <c r="Q15">
        <f>IF(AND('[1]LMP IN PPT'!$A17='[1]LMP IN MST'!$A15,'[1]LMP IN MST'!$Z15="ST",'[1]LMP IN MST'!$AA15="NORM",OR('[1]LMP IN MST'!$AB15="MAR",'[1]LMP IN MST'!$AB15="")),'[1]LMP IN PPT'!S17,IF(AND('[1]LMP IN PPT'!$A17='[1]LMP IN MST'!$A15,'[1]LMP IN MST'!$Z15="DST",'[1]LMP IN MST'!$AA15="FB",'[1]LMP IN MST'!$AB15="NOV"),'[1]LMP IN PPT'!T17,IF(AND('[1]LMP IN PPT'!$A17='[1]LMP IN MST'!$A15,'[1]LMP IN MST'!$Z15="ST",'[1]LMP IN MST'!$AA15="NORM",'[1]LMP IN MST'!$AB15="NOV"),'[1]LMP IN PPT'!T17,IF(AND('[1]LMP IN PPT'!$A17='[1]LMP IN MST'!$A15,'[1]LMP IN MST'!$Z15="DST",'[1]LMP IN MST'!$AA15="SF",'[1]LMP IN MST'!$AB15="MAR"),'[1]LMP IN PPT'!T17,IF(AND('[1]LMP IN PPT'!$A17='[1]LMP IN MST'!$A15,'[1]LMP IN MST'!$Z15="DST",'[1]LMP IN MST'!$AA15="NORM",'[1]LMP IN MST'!$AB15="NOV"),'[1]LMP IN PPT'!U17,IF(AND('[1]LMP IN PPT'!$A17='[1]LMP IN MST'!$A15,'[1]LMP IN MST'!$Z15="DST",'[1]LMP IN MST'!$AA15="NORM",OR('[1]LMP IN MST'!$AB15="MAR",'[1]LMP IN MST'!$AB15="")),'[1]LMP IN PPT'!T17,0))))))</f>
        <v>-20.978000000000002</v>
      </c>
      <c r="R15">
        <f>IF(AND('[1]LMP IN PPT'!$A17='[1]LMP IN MST'!$A15,'[1]LMP IN MST'!$Z15="ST",'[1]LMP IN MST'!$AA15="NORM",OR('[1]LMP IN MST'!$AB15="MAR",'[1]LMP IN MST'!$AB15="")),'[1]LMP IN PPT'!T17,IF(AND('[1]LMP IN PPT'!$A17='[1]LMP IN MST'!$A15,'[1]LMP IN MST'!$Z15="DST",'[1]LMP IN MST'!$AA15="FB",'[1]LMP IN MST'!$AB15="NOV"),'[1]LMP IN PPT'!U17,IF(AND('[1]LMP IN PPT'!$A17='[1]LMP IN MST'!$A15,'[1]LMP IN MST'!$Z15="ST",'[1]LMP IN MST'!$AA15="NORM",'[1]LMP IN MST'!$AB15="NOV"),'[1]LMP IN PPT'!U17,IF(AND('[1]LMP IN PPT'!$A17='[1]LMP IN MST'!$A15,'[1]LMP IN MST'!$Z15="DST",'[1]LMP IN MST'!$AA15="SF",'[1]LMP IN MST'!$AB15="MAR"),'[1]LMP IN PPT'!U17,IF(AND('[1]LMP IN PPT'!$A17='[1]LMP IN MST'!$A15,'[1]LMP IN MST'!$Z15="DST",'[1]LMP IN MST'!$AA15="NORM",'[1]LMP IN MST'!$AB15="NOV"),'[1]LMP IN PPT'!V17,IF(AND('[1]LMP IN PPT'!$A17='[1]LMP IN MST'!$A15,'[1]LMP IN MST'!$Z15="DST",'[1]LMP IN MST'!$AA15="NORM",OR('[1]LMP IN MST'!$AB15="MAR",'[1]LMP IN MST'!$AB15="")),'[1]LMP IN PPT'!U17,0))))))</f>
        <v>-13.18281</v>
      </c>
      <c r="S15">
        <f>IF(AND('[1]LMP IN PPT'!$A17='[1]LMP IN MST'!$A15,'[1]LMP IN MST'!$Z15="ST",'[1]LMP IN MST'!$AA15="NORM",OR('[1]LMP IN MST'!$AB15="MAR",'[1]LMP IN MST'!$AB15="")),'[1]LMP IN PPT'!U17,IF(AND('[1]LMP IN PPT'!$A17='[1]LMP IN MST'!$A15,'[1]LMP IN MST'!$Z15="DST",'[1]LMP IN MST'!$AA15="FB",'[1]LMP IN MST'!$AB15="NOV"),'[1]LMP IN PPT'!V17,IF(AND('[1]LMP IN PPT'!$A17='[1]LMP IN MST'!$A15,'[1]LMP IN MST'!$Z15="ST",'[1]LMP IN MST'!$AA15="NORM",'[1]LMP IN MST'!$AB15="NOV"),'[1]LMP IN PPT'!V17,IF(AND('[1]LMP IN PPT'!$A17='[1]LMP IN MST'!$A15,'[1]LMP IN MST'!$Z15="DST",'[1]LMP IN MST'!$AA15="SF",'[1]LMP IN MST'!$AB15="MAR"),'[1]LMP IN PPT'!V17,IF(AND('[1]LMP IN PPT'!$A17='[1]LMP IN MST'!$A15,'[1]LMP IN MST'!$Z15="DST",'[1]LMP IN MST'!$AA15="NORM",'[1]LMP IN MST'!$AB15="NOV"),'[1]LMP IN PPT'!W17,IF(AND('[1]LMP IN PPT'!$A17='[1]LMP IN MST'!$A15,'[1]LMP IN MST'!$Z15="DST",'[1]LMP IN MST'!$AA15="NORM",OR('[1]LMP IN MST'!$AB15="MAR",'[1]LMP IN MST'!$AB15="")),'[1]LMP IN PPT'!V17,0))))))</f>
        <v>13.455209999999999</v>
      </c>
      <c r="T15">
        <f>IF(AND('[1]LMP IN PPT'!$A17='[1]LMP IN MST'!$A15,'[1]LMP IN MST'!$Z15="ST",'[1]LMP IN MST'!$AA15="NORM",OR('[1]LMP IN MST'!$AB15="MAR",'[1]LMP IN MST'!$AB15="")),'[1]LMP IN PPT'!V17,IF(AND('[1]LMP IN PPT'!$A17='[1]LMP IN MST'!$A15,'[1]LMP IN MST'!$Z15="DST",'[1]LMP IN MST'!$AA15="FB",'[1]LMP IN MST'!$AB15="NOV"),'[1]LMP IN PPT'!W17,IF(AND('[1]LMP IN PPT'!$A17='[1]LMP IN MST'!$A15,'[1]LMP IN MST'!$Z15="ST",'[1]LMP IN MST'!$AA15="NORM",'[1]LMP IN MST'!$AB15="NOV"),'[1]LMP IN PPT'!W17,IF(AND('[1]LMP IN PPT'!$A17='[1]LMP IN MST'!$A15,'[1]LMP IN MST'!$Z15="DST",'[1]LMP IN MST'!$AA15="SF",'[1]LMP IN MST'!$AB15="MAR"),'[1]LMP IN PPT'!W17,IF(AND('[1]LMP IN PPT'!$A17='[1]LMP IN MST'!$A15,'[1]LMP IN MST'!$Z15="DST",'[1]LMP IN MST'!$AA15="NORM",'[1]LMP IN MST'!$AB15="NOV"),'[1]LMP IN PPT'!X17,IF(AND('[1]LMP IN PPT'!$A17='[1]LMP IN MST'!$A15,'[1]LMP IN MST'!$Z15="DST",'[1]LMP IN MST'!$AA15="NORM",OR('[1]LMP IN MST'!$AB15="MAR",'[1]LMP IN MST'!$AB15="")),'[1]LMP IN PPT'!W17,0))))))</f>
        <v>40.770000000000003</v>
      </c>
      <c r="U15">
        <f>IF(AND('[1]LMP IN PPT'!$A17='[1]LMP IN MST'!$A15,'[1]LMP IN MST'!$Z15="ST",'[1]LMP IN MST'!$AA15="NORM",OR('[1]LMP IN MST'!$AB15="MAR",'[1]LMP IN MST'!$AB15="")),'[1]LMP IN PPT'!W17,IF(AND('[1]LMP IN PPT'!$A17='[1]LMP IN MST'!$A15,'[1]LMP IN MST'!$Z15="DST",'[1]LMP IN MST'!$AA15="FB",'[1]LMP IN MST'!$AB15="NOV"),'[1]LMP IN PPT'!X17,IF(AND('[1]LMP IN PPT'!$A17='[1]LMP IN MST'!$A15,'[1]LMP IN MST'!$Z15="ST",'[1]LMP IN MST'!$AA15="NORM",'[1]LMP IN MST'!$AB15="NOV"),'[1]LMP IN PPT'!X17,IF(AND('[1]LMP IN PPT'!$A17='[1]LMP IN MST'!$A15,'[1]LMP IN MST'!$Z15="DST",'[1]LMP IN MST'!$AA15="SF",'[1]LMP IN MST'!$AB15="MAR"),'[1]LMP IN PPT'!X17,IF(AND('[1]LMP IN PPT'!$A17='[1]LMP IN MST'!$A15,'[1]LMP IN MST'!$Z15="DST",'[1]LMP IN MST'!$AA15="NORM",'[1]LMP IN MST'!$AB15="NOV"),'[1]LMP IN PPT'!Y17,IF(AND('[1]LMP IN PPT'!$A17='[1]LMP IN MST'!$A15,'[1]LMP IN MST'!$Z15="DST",'[1]LMP IN MST'!$AA15="NORM",OR('[1]LMP IN MST'!$AB15="MAR",'[1]LMP IN MST'!$AB15="")),'[1]LMP IN PPT'!X17,0))))))</f>
        <v>46.616759999999999</v>
      </c>
      <c r="V15">
        <f>IF(AND('[1]LMP IN PPT'!$A17='[1]LMP IN MST'!$A15,'[1]LMP IN MST'!$Z15="ST",'[1]LMP IN MST'!$AA15="NORM",OR('[1]LMP IN MST'!$AB15="MAR",'[1]LMP IN MST'!$AB15="")),'[1]LMP IN PPT'!X17,IF(AND('[1]LMP IN PPT'!$A17='[1]LMP IN MST'!$A15,'[1]LMP IN MST'!$Z15="DST",'[1]LMP IN MST'!$AA15="FB",'[1]LMP IN MST'!$AB15="NOV"),'[1]LMP IN PPT'!Y17,IF(AND('[1]LMP IN PPT'!$A17='[1]LMP IN MST'!$A15,'[1]LMP IN MST'!$Z15="ST",'[1]LMP IN MST'!$AA15="NORM",'[1]LMP IN MST'!$AB15="NOV"),'[1]LMP IN PPT'!Y17,IF(AND('[1]LMP IN PPT'!$A17='[1]LMP IN MST'!$A15,'[1]LMP IN MST'!$Z15="DST",'[1]LMP IN MST'!$AA15="SF",'[1]LMP IN MST'!$AB15="MAR"),'[1]LMP IN PPT'!Y17,IF(AND('[1]LMP IN PPT'!$A17='[1]LMP IN MST'!$A15,'[1]LMP IN MST'!$Z15="DST",'[1]LMP IN MST'!$AA15="NORM",'[1]LMP IN MST'!$AB15="NOV"),'[1]LMP IN PPT'!Z17,IF(AND('[1]LMP IN PPT'!$A17='[1]LMP IN MST'!$A15,'[1]LMP IN MST'!$Z15="DST",'[1]LMP IN MST'!$AA15="NORM",OR('[1]LMP IN MST'!$AB15="MAR",'[1]LMP IN MST'!$AB15="")),'[1]LMP IN PPT'!Y17,0))))))</f>
        <v>44.177219999999998</v>
      </c>
      <c r="W15">
        <f>IF(AND('[1]LMP IN PPT'!$A17='[1]LMP IN MST'!$A15,'[1]LMP IN MST'!$Z15="ST",'[1]LMP IN MST'!$AA15="NORM",OR('[1]LMP IN MST'!$AB15="MAR",'[1]LMP IN MST'!$AB15="")),'[1]LMP IN PPT'!Y17,IF(AND('[1]LMP IN PPT'!$A17='[1]LMP IN MST'!$A15,'[1]LMP IN MST'!$Z15="DST",'[1]LMP IN MST'!$AA15="FB",'[1]LMP IN MST'!$AB15="NOV"),'[1]LMP IN PPT'!Z17,IF(AND('[1]LMP IN PPT'!$A17='[1]LMP IN MST'!$A15,'[1]LMP IN MST'!$Z15="ST",'[1]LMP IN MST'!$AA15="NORM",'[1]LMP IN MST'!$AB15="NOV"),'[1]LMP IN PPT'!Z17,IF(AND('[1]LMP IN PPT'!$A17='[1]LMP IN MST'!$A15,'[1]LMP IN MST'!$Z15="DST",'[1]LMP IN MST'!$AA15="SF",'[1]LMP IN MST'!$AB15="MAR"),'[1]LMP IN PPT'!Z17,IF(AND('[1]LMP IN PPT'!$A17='[1]LMP IN MST'!$A15,'[1]LMP IN MST'!$Z15="DST",'[1]LMP IN MST'!$AA15="NORM",'[1]LMP IN MST'!$AB15="NOV"),'[1]LMP IN PPT'!AA17,IF(AND('[1]LMP IN PPT'!$A17='[1]LMP IN MST'!$A15,'[1]LMP IN MST'!$Z15="DST",'[1]LMP IN MST'!$AA15="NORM",OR('[1]LMP IN MST'!$AB15="MAR",'[1]LMP IN MST'!$AB15="")),'[1]LMP IN PPT'!Z17,0))))))</f>
        <v>43.012990000000002</v>
      </c>
      <c r="X15">
        <f>IF(AND('[1]LMP IN PPT'!$A17='[1]LMP IN MST'!$A15,'[1]LMP IN MST'!$Z15="ST",'[1]LMP IN MST'!$AA15="NORM",OR('[1]LMP IN MST'!$AB15="MAR",'[1]LMP IN MST'!$AB15="")),'[1]LMP IN PPT'!Z17,IF(AND('[1]LMP IN PPT'!$A17='[1]LMP IN MST'!$A15,'[1]LMP IN MST'!$Z15="DST",'[1]LMP IN MST'!$AA15="FB",'[1]LMP IN MST'!$AB15="NOV"),'[1]LMP IN PPT'!AA17,IF(AND('[1]LMP IN PPT'!$A17='[1]LMP IN MST'!$A15,'[1]LMP IN MST'!$Z15="ST",'[1]LMP IN MST'!$AA15="NORM",'[1]LMP IN MST'!$AB15="NOV"),'[1]LMP IN PPT'!AA17,IF(AND('[1]LMP IN PPT'!$A17='[1]LMP IN MST'!$A15,'[1]LMP IN MST'!$Z15="DST",'[1]LMP IN MST'!$AA15="SF",'[1]LMP IN MST'!$AB15="MAR"),'[1]LMP IN PPT'!AA17,IF(AND('[1]LMP IN PPT'!$A17='[1]LMP IN MST'!$A15,'[1]LMP IN MST'!$Z15="DST",'[1]LMP IN MST'!$AA15="NORM",'[1]LMP IN MST'!$AB15="NOV"),'[1]LMP IN PPT'!AB17,IF(AND('[1]LMP IN PPT'!$A17='[1]LMP IN MST'!$A15,'[1]LMP IN MST'!$Z15="DST",'[1]LMP IN MST'!$AA15="NORM",OR('[1]LMP IN MST'!$AB15="MAR",'[1]LMP IN MST'!$AB15="")),'[1]LMP IN PPT'!AA17,0))))))</f>
        <v>39.780889999999999</v>
      </c>
      <c r="Y15">
        <f>IF(AND('[1]LMP IN PPT'!$A17='[1]LMP IN MST'!$A15,'[1]LMP IN MST'!$Z15="ST",'[1]LMP IN MST'!$AA15="NORM",OR('[1]LMP IN MST'!$AB15="MAR",'[1]LMP IN MST'!$AB15="")),'[1]LMP IN PPT'!AA17,IF(AND('[1]LMP IN PPT'!$A17='[1]LMP IN MST'!$A15,'[1]LMP IN MST'!$Z15="DST",'[1]LMP IN MST'!$AA15="FB",'[1]LMP IN MST'!$AB15="NOV"),'[1]LMP IN PPT'!AB17,IF(AND('[1]LMP IN PPT'!$A17='[1]LMP IN MST'!$A15,'[1]LMP IN MST'!$Z15="ST",'[1]LMP IN MST'!$AA15="NORM",'[1]LMP IN MST'!$AB15="NOV"),'[1]LMP IN PPT'!AB17,IF(AND('[1]LMP IN PPT'!$A17='[1]LMP IN MST'!$A15,'[1]LMP IN MST'!$Z15="DST",'[1]LMP IN MST'!$AA15="SF",'[1]LMP IN MST'!$AB15="MAR"),'[1]LMP IN PPT'!AB17,IF(AND('[1]LMP IN PPT'!$A17='[1]LMP IN MST'!$A15,'[1]LMP IN MST'!$Z15="DST",'[1]LMP IN MST'!$AA15="NORM",'[1]LMP IN MST'!$AB15="NOV"),'[1]LMP IN PPT'!AC17,IF(AND('[1]LMP IN PPT'!$A17='[1]LMP IN MST'!$A15,'[1]LMP IN MST'!$Z15="DST",'[1]LMP IN MST'!$AA15="NORM",OR('[1]LMP IN MST'!$AB15="MAR",'[1]LMP IN MST'!$AB15="")),'[1]LMP IN PPT'!AB17,0))))))</f>
        <v>37.775849999999998</v>
      </c>
    </row>
    <row r="16" spans="1:25" x14ac:dyDescent="0.3">
      <c r="A16" s="1">
        <f t="shared" si="0"/>
        <v>45366</v>
      </c>
      <c r="B16">
        <f>IF(AND('[1]LMP IN PPT'!$A18='[1]LMP IN MST'!$A16,'[1]LMP IN MST'!$Z16="ST",'[1]LMP IN MST'!$AA16="NORM",'[1]LMP IN MST'!$AB16="NOV"),'[1]LMP IN PPT'!AC17,IF(AND('[1]LMP IN PPT'!$A18='[1]LMP IN MST'!$A16,'[1]LMP IN MST'!$Z16="ST",'[1]LMP IN MST'!$AA16="NORM",'[1]LMP IN MST'!$AB16="MAR"),'[1]LMP IN PPT'!AB17,IF(AND('[1]LMP IN PPT'!$A18='[1]LMP IN MST'!$A16,'[1]LMP IN MST'!$Z16="ST",'[1]LMP IN MST'!$AA16="NORM",'[1]LMP IN MST'!$AB16=""),'[1]LMP IN PPT'!AB17,IF(AND('[1]LMP IN PPT'!$A18='[1]LMP IN MST'!$A16,'[1]LMP IN MST'!$Z16="DST",'[1]LMP IN MST'!$AA16="FB",'[1]LMP IN MST'!$AB16="NOV"),'[1]LMP IN PPT'!E18,IF(AND('[1]LMP IN PPT'!$A18='[1]LMP IN MST'!$A16,'[1]LMP IN MST'!$Z16="DST",'[1]LMP IN MST'!$AA16="SF",'[1]LMP IN MST'!$AB16="MAR"),'[1]LMP IN PPT'!AB17,IF(AND('[1]LMP IN PPT'!$A18='[1]LMP IN MST'!$A16,'[1]LMP IN MST'!$Z16="DST",'[1]LMP IN MST'!$AA16="NORM",OR('[1]LMP IN MST'!$AB16="MAR",'[1]LMP IN MST'!$AB16="",'[1]LMP IN MST'!$AB16="NOV")),'[1]LMP IN PPT'!E18,0))))))</f>
        <v>31.739930000000001</v>
      </c>
      <c r="C16">
        <f>IF(AND('[1]LMP IN PPT'!$A18='[1]LMP IN MST'!$A16,'[1]LMP IN MST'!$Z16="ST",'[1]LMP IN MST'!$AA16="NORM",OR('[1]LMP IN MST'!$AB16="NOV",'[1]LMP IN MST'!$AB16="MAR",'[1]LMP IN MST'!$AB16="")),'[1]LMP IN PPT'!E18,IF(AND('[1]LMP IN PPT'!$A18='[1]LMP IN MST'!$A16,'[1]LMP IN MST'!$Z16="DST",'[1]LMP IN MST'!$AA16="FB",'[1]LMP IN MST'!$AB16="NOV"),'[1]LMP IN PPT'!F18,IF(AND('[1]LMP IN PPT'!$A18='[1]LMP IN MST'!$A16,'[1]LMP IN MST'!$Z16="DST",'[1]LMP IN MST'!$AA16="SF",'[1]LMP IN MST'!$AB16="MAR"),'[1]LMP IN PPT'!E18,IF(AND('[1]LMP IN PPT'!$A18='[1]LMP IN MST'!$A16,'[1]LMP IN MST'!$Z16="DST",'[1]LMP IN MST'!$AA16="NORM",OR('[1]LMP IN MST'!$AB16="MAR",'[1]LMP IN MST'!$AB16="",'[1]LMP IN MST'!$AB16="NOV")),'[1]LMP IN PPT'!F18,0))))</f>
        <v>30.842020000000002</v>
      </c>
      <c r="D16">
        <f>IF(AND('[1]LMP IN PPT'!$A18='[1]LMP IN MST'!$A16,'[1]LMP IN MST'!$Z16="ST",'[1]LMP IN MST'!$AA16="NORM",OR('[1]LMP IN MST'!$AB16="NOV",'[1]LMP IN MST'!$AB16="MAR",'[1]LMP IN MST'!$AB16="")),'[1]LMP IN PPT'!F18,IF(AND('[1]LMP IN PPT'!$A18='[1]LMP IN MST'!$A16,'[1]LMP IN MST'!$Z16="DST",'[1]LMP IN MST'!$AA16="FB",'[1]LMP IN MST'!$AB16="NOV"),'[1]LMP IN PPT'!G18,IF(AND('[1]LMP IN PPT'!$A18='[1]LMP IN MST'!$A16,'[1]LMP IN MST'!$Z16="DST",'[1]LMP IN MST'!$AA16="SF",'[1]LMP IN MST'!$AB16="MAR"),'[1]LMP IN PPT'!F18,IF(AND('[1]LMP IN PPT'!$A18='[1]LMP IN MST'!$A16,'[1]LMP IN MST'!$Z16="DST",'[1]LMP IN MST'!$AA16="NORM",'[1]LMP IN MST'!$AB16="NOV"),'[1]LMP IN PPT'!H18,IF(AND('[1]LMP IN PPT'!$A18='[1]LMP IN MST'!$A16,'[1]LMP IN MST'!$Z16="DST",'[1]LMP IN MST'!$AA16="NORM",OR('[1]LMP IN MST'!$AB16="MAR",'[1]LMP IN MST'!$AB16="")),'[1]LMP IN PPT'!G18,0)))))</f>
        <v>31.569659999999999</v>
      </c>
      <c r="E16">
        <f>IF(AND('[1]LMP IN PPT'!$A18='[1]LMP IN MST'!$A16,'[1]LMP IN MST'!$Z16="ST",'[1]LMP IN MST'!$AA16="NORM",OR('[1]LMP IN MST'!$AB16="MAR",'[1]LMP IN MST'!$AB16="")),'[1]LMP IN PPT'!G18,IF(AND('[1]LMP IN PPT'!$A18='[1]LMP IN MST'!$A16,'[1]LMP IN MST'!$Z16="DST",'[1]LMP IN MST'!$AA16="FB",'[1]LMP IN MST'!$AB16="NOV"),'[1]LMP IN PPT'!H18,IF(AND('[1]LMP IN PPT'!$A18='[1]LMP IN MST'!$A16,'[1]LMP IN MST'!$Z16="ST",'[1]LMP IN MST'!$AA16="NORM",'[1]LMP IN MST'!$AB16="NOV"),'[1]LMP IN PPT'!H18,IF(AND('[1]LMP IN PPT'!$A18='[1]LMP IN MST'!$A16,'[1]LMP IN MST'!$Z16="DST",'[1]LMP IN MST'!$AA16="SF",'[1]LMP IN MST'!$AB16="MAR"),'[1]LMP IN PPT'!H18,IF(AND('[1]LMP IN PPT'!$A18='[1]LMP IN MST'!$A16,'[1]LMP IN MST'!$Z16="DST",'[1]LMP IN MST'!$AA16="NORM",'[1]LMP IN MST'!$AB16="NOV"),'[1]LMP IN PPT'!I18,IF(AND('[1]LMP IN PPT'!$A18='[1]LMP IN MST'!$A16,'[1]LMP IN MST'!$Z16="DST",'[1]LMP IN MST'!$AA16="NORM",OR('[1]LMP IN MST'!$AB16="MAR",'[1]LMP IN MST'!$AB16="")),'[1]LMP IN PPT'!H18,0))))))</f>
        <v>30.469709999999999</v>
      </c>
      <c r="F16">
        <f>IF(AND('[1]LMP IN PPT'!$A18='[1]LMP IN MST'!$A16,'[1]LMP IN MST'!$Z16="ST",'[1]LMP IN MST'!$AA16="NORM",OR('[1]LMP IN MST'!$AB16="MAR",'[1]LMP IN MST'!$AB16="")),'[1]LMP IN PPT'!H18,IF(AND('[1]LMP IN PPT'!$A18='[1]LMP IN MST'!$A16,'[1]LMP IN MST'!$Z16="DST",'[1]LMP IN MST'!$AA16="FB",'[1]LMP IN MST'!$AB16="NOV"),'[1]LMP IN PPT'!I18,IF(AND('[1]LMP IN PPT'!$A18='[1]LMP IN MST'!$A16,'[1]LMP IN MST'!$Z16="ST",'[1]LMP IN MST'!$AA16="NORM",'[1]LMP IN MST'!$AB16="NOV"),'[1]LMP IN PPT'!I18,IF(AND('[1]LMP IN PPT'!$A18='[1]LMP IN MST'!$A16,'[1]LMP IN MST'!$Z16="DST",'[1]LMP IN MST'!$AA16="SF",'[1]LMP IN MST'!$AB16="MAR"),'[1]LMP IN PPT'!I18,IF(AND('[1]LMP IN PPT'!$A18='[1]LMP IN MST'!$A16,'[1]LMP IN MST'!$Z16="DST",'[1]LMP IN MST'!$AA16="NORM",'[1]LMP IN MST'!$AB16="NOV"),'[1]LMP IN PPT'!J18,IF(AND('[1]LMP IN PPT'!$A18='[1]LMP IN MST'!$A16,'[1]LMP IN MST'!$Z16="DST",'[1]LMP IN MST'!$AA16="NORM",OR('[1]LMP IN MST'!$AB16="MAR",'[1]LMP IN MST'!$AB16="")),'[1]LMP IN PPT'!I18,0))))))</f>
        <v>30.61591</v>
      </c>
      <c r="G16">
        <f>IF(AND('[1]LMP IN PPT'!$A18='[1]LMP IN MST'!$A16,'[1]LMP IN MST'!$Z16="ST",'[1]LMP IN MST'!$AA16="NORM",OR('[1]LMP IN MST'!$AB16="MAR",'[1]LMP IN MST'!$AB16="")),'[1]LMP IN PPT'!I18,IF(AND('[1]LMP IN PPT'!$A18='[1]LMP IN MST'!$A16,'[1]LMP IN MST'!$Z16="DST",'[1]LMP IN MST'!$AA16="FB",'[1]LMP IN MST'!$AB16="NOV"),'[1]LMP IN PPT'!J18,IF(AND('[1]LMP IN PPT'!$A18='[1]LMP IN MST'!$A16,'[1]LMP IN MST'!$Z16="ST",'[1]LMP IN MST'!$AA16="NORM",'[1]LMP IN MST'!$AB16="NOV"),'[1]LMP IN PPT'!J18,IF(AND('[1]LMP IN PPT'!$A18='[1]LMP IN MST'!$A16,'[1]LMP IN MST'!$Z16="DST",'[1]LMP IN MST'!$AA16="SF",'[1]LMP IN MST'!$AB16="MAR"),'[1]LMP IN PPT'!J18,IF(AND('[1]LMP IN PPT'!$A18='[1]LMP IN MST'!$A16,'[1]LMP IN MST'!$Z16="DST",'[1]LMP IN MST'!$AA16="NORM",'[1]LMP IN MST'!$AB16="NOV"),'[1]LMP IN PPT'!K18,IF(AND('[1]LMP IN PPT'!$A18='[1]LMP IN MST'!$A16,'[1]LMP IN MST'!$Z16="DST",'[1]LMP IN MST'!$AA16="NORM",OR('[1]LMP IN MST'!$AB16="MAR",'[1]LMP IN MST'!$AB16="")),'[1]LMP IN PPT'!J18,0))))))</f>
        <v>36.061590000000002</v>
      </c>
      <c r="H16">
        <f>IF(AND('[1]LMP IN PPT'!$A18='[1]LMP IN MST'!$A16,'[1]LMP IN MST'!$Z16="ST",'[1]LMP IN MST'!$AA16="NORM",OR('[1]LMP IN MST'!$AB16="MAR",'[1]LMP IN MST'!$AB16="")),'[1]LMP IN PPT'!J18,IF(AND('[1]LMP IN PPT'!$A18='[1]LMP IN MST'!$A16,'[1]LMP IN MST'!$Z16="DST",'[1]LMP IN MST'!$AA16="FB",'[1]LMP IN MST'!$AB16="NOV"),'[1]LMP IN PPT'!K18,IF(AND('[1]LMP IN PPT'!$A18='[1]LMP IN MST'!$A16,'[1]LMP IN MST'!$Z16="ST",'[1]LMP IN MST'!$AA16="NORM",'[1]LMP IN MST'!$AB16="NOV"),'[1]LMP IN PPT'!K18,IF(AND('[1]LMP IN PPT'!$A18='[1]LMP IN MST'!$A16,'[1]LMP IN MST'!$Z16="DST",'[1]LMP IN MST'!$AA16="SF",'[1]LMP IN MST'!$AB16="MAR"),'[1]LMP IN PPT'!K18,IF(AND('[1]LMP IN PPT'!$A18='[1]LMP IN MST'!$A16,'[1]LMP IN MST'!$Z16="DST",'[1]LMP IN MST'!$AA16="NORM",'[1]LMP IN MST'!$AB16="NOV"),'[1]LMP IN PPT'!L18,IF(AND('[1]LMP IN PPT'!$A18='[1]LMP IN MST'!$A16,'[1]LMP IN MST'!$Z16="DST",'[1]LMP IN MST'!$AA16="NORM",OR('[1]LMP IN MST'!$AB16="MAR",'[1]LMP IN MST'!$AB16="")),'[1]LMP IN PPT'!K18,0))))))</f>
        <v>49.557479999999998</v>
      </c>
      <c r="I16">
        <f>IF(AND('[1]LMP IN PPT'!$A18='[1]LMP IN MST'!$A16,'[1]LMP IN MST'!$Z16="ST",'[1]LMP IN MST'!$AA16="NORM",OR('[1]LMP IN MST'!$AB16="MAR",'[1]LMP IN MST'!$AB16="")),'[1]LMP IN PPT'!K18,IF(AND('[1]LMP IN PPT'!$A18='[1]LMP IN MST'!$A16,'[1]LMP IN MST'!$Z16="DST",'[1]LMP IN MST'!$AA16="FB",'[1]LMP IN MST'!$AB16="NOV"),'[1]LMP IN PPT'!L18,IF(AND('[1]LMP IN PPT'!$A18='[1]LMP IN MST'!$A16,'[1]LMP IN MST'!$Z16="ST",'[1]LMP IN MST'!$AA16="NORM",'[1]LMP IN MST'!$AB16="NOV"),'[1]LMP IN PPT'!L18,IF(AND('[1]LMP IN PPT'!$A18='[1]LMP IN MST'!$A16,'[1]LMP IN MST'!$Z16="DST",'[1]LMP IN MST'!$AA16="SF",'[1]LMP IN MST'!$AB16="MAR"),'[1]LMP IN PPT'!L18,IF(AND('[1]LMP IN PPT'!$A18='[1]LMP IN MST'!$A16,'[1]LMP IN MST'!$Z16="DST",'[1]LMP IN MST'!$AA16="NORM",'[1]LMP IN MST'!$AB16="NOV"),'[1]LMP IN PPT'!M18,IF(AND('[1]LMP IN PPT'!$A18='[1]LMP IN MST'!$A16,'[1]LMP IN MST'!$Z16="DST",'[1]LMP IN MST'!$AA16="NORM",OR('[1]LMP IN MST'!$AB16="MAR",'[1]LMP IN MST'!$AB16="")),'[1]LMP IN PPT'!L18,0))))))</f>
        <v>50.465809999999998</v>
      </c>
      <c r="J16">
        <f>IF(AND('[1]LMP IN PPT'!$A18='[1]LMP IN MST'!$A16,'[1]LMP IN MST'!$Z16="ST",'[1]LMP IN MST'!$AA16="NORM",OR('[1]LMP IN MST'!$AB16="MAR",'[1]LMP IN MST'!$AB16="")),'[1]LMP IN PPT'!L18,IF(AND('[1]LMP IN PPT'!$A18='[1]LMP IN MST'!$A16,'[1]LMP IN MST'!$Z16="DST",'[1]LMP IN MST'!$AA16="FB",'[1]LMP IN MST'!$AB16="NOV"),'[1]LMP IN PPT'!M18,IF(AND('[1]LMP IN PPT'!$A18='[1]LMP IN MST'!$A16,'[1]LMP IN MST'!$Z16="ST",'[1]LMP IN MST'!$AA16="NORM",'[1]LMP IN MST'!$AB16="NOV"),'[1]LMP IN PPT'!M18,IF(AND('[1]LMP IN PPT'!$A18='[1]LMP IN MST'!$A16,'[1]LMP IN MST'!$Z16="DST",'[1]LMP IN MST'!$AA16="SF",'[1]LMP IN MST'!$AB16="MAR"),'[1]LMP IN PPT'!M18,IF(AND('[1]LMP IN PPT'!$A18='[1]LMP IN MST'!$A16,'[1]LMP IN MST'!$Z16="DST",'[1]LMP IN MST'!$AA16="NORM",'[1]LMP IN MST'!$AB16="NOV"),'[1]LMP IN PPT'!N18,IF(AND('[1]LMP IN PPT'!$A18='[1]LMP IN MST'!$A16,'[1]LMP IN MST'!$Z16="DST",'[1]LMP IN MST'!$AA16="NORM",OR('[1]LMP IN MST'!$AB16="MAR",'[1]LMP IN MST'!$AB16="")),'[1]LMP IN PPT'!M18,0))))))</f>
        <v>36.576239999999999</v>
      </c>
      <c r="K16">
        <f>IF(AND('[1]LMP IN PPT'!$A18='[1]LMP IN MST'!$A16,'[1]LMP IN MST'!$Z16="ST",'[1]LMP IN MST'!$AA16="NORM",OR('[1]LMP IN MST'!$AB16="MAR",'[1]LMP IN MST'!$AB16="")),'[1]LMP IN PPT'!M18,IF(AND('[1]LMP IN PPT'!$A18='[1]LMP IN MST'!$A16,'[1]LMP IN MST'!$Z16="DST",'[1]LMP IN MST'!$AA16="FB",'[1]LMP IN MST'!$AB16="NOV"),'[1]LMP IN PPT'!N18,IF(AND('[1]LMP IN PPT'!$A18='[1]LMP IN MST'!$A16,'[1]LMP IN MST'!$Z16="ST",'[1]LMP IN MST'!$AA16="NORM",'[1]LMP IN MST'!$AB16="NOV"),'[1]LMP IN PPT'!N18,IF(AND('[1]LMP IN PPT'!$A18='[1]LMP IN MST'!$A16,'[1]LMP IN MST'!$Z16="DST",'[1]LMP IN MST'!$AA16="SF",'[1]LMP IN MST'!$AB16="MAR"),'[1]LMP IN PPT'!N18,IF(AND('[1]LMP IN PPT'!$A18='[1]LMP IN MST'!$A16,'[1]LMP IN MST'!$Z16="DST",'[1]LMP IN MST'!$AA16="NORM",'[1]LMP IN MST'!$AB16="NOV"),'[1]LMP IN PPT'!O18,IF(AND('[1]LMP IN PPT'!$A18='[1]LMP IN MST'!$A16,'[1]LMP IN MST'!$Z16="DST",'[1]LMP IN MST'!$AA16="NORM",OR('[1]LMP IN MST'!$AB16="MAR",'[1]LMP IN MST'!$AB16="")),'[1]LMP IN PPT'!N18,0))))))</f>
        <v>19.651319999999998</v>
      </c>
      <c r="L16">
        <f>IF(AND('[1]LMP IN PPT'!$A18='[1]LMP IN MST'!$A16,'[1]LMP IN MST'!$Z16="ST",'[1]LMP IN MST'!$AA16="NORM",OR('[1]LMP IN MST'!$AB16="MAR",'[1]LMP IN MST'!$AB16="")),'[1]LMP IN PPT'!N18,IF(AND('[1]LMP IN PPT'!$A18='[1]LMP IN MST'!$A16,'[1]LMP IN MST'!$Z16="DST",'[1]LMP IN MST'!$AA16="FB",'[1]LMP IN MST'!$AB16="NOV"),'[1]LMP IN PPT'!O18,IF(AND('[1]LMP IN PPT'!$A18='[1]LMP IN MST'!$A16,'[1]LMP IN MST'!$Z16="ST",'[1]LMP IN MST'!$AA16="NORM",'[1]LMP IN MST'!$AB16="NOV"),'[1]LMP IN PPT'!O18,IF(AND('[1]LMP IN PPT'!$A18='[1]LMP IN MST'!$A16,'[1]LMP IN MST'!$Z16="DST",'[1]LMP IN MST'!$AA16="SF",'[1]LMP IN MST'!$AB16="MAR"),'[1]LMP IN PPT'!O18,IF(AND('[1]LMP IN PPT'!$A18='[1]LMP IN MST'!$A16,'[1]LMP IN MST'!$Z16="DST",'[1]LMP IN MST'!$AA16="NORM",'[1]LMP IN MST'!$AB16="NOV"),'[1]LMP IN PPT'!P18,IF(AND('[1]LMP IN PPT'!$A18='[1]LMP IN MST'!$A16,'[1]LMP IN MST'!$Z16="DST",'[1]LMP IN MST'!$AA16="NORM",OR('[1]LMP IN MST'!$AB16="MAR",'[1]LMP IN MST'!$AB16="")),'[1]LMP IN PPT'!O18,0))))))</f>
        <v>7.8934499999999996</v>
      </c>
      <c r="M16">
        <f>IF(AND('[1]LMP IN PPT'!$A18='[1]LMP IN MST'!$A16,'[1]LMP IN MST'!$Z16="ST",'[1]LMP IN MST'!$AA16="NORM",OR('[1]LMP IN MST'!$AB16="MAR",'[1]LMP IN MST'!$AB16="")),'[1]LMP IN PPT'!O18,IF(AND('[1]LMP IN PPT'!$A18='[1]LMP IN MST'!$A16,'[1]LMP IN MST'!$Z16="DST",'[1]LMP IN MST'!$AA16="FB",'[1]LMP IN MST'!$AB16="NOV"),'[1]LMP IN PPT'!P18,IF(AND('[1]LMP IN PPT'!$A18='[1]LMP IN MST'!$A16,'[1]LMP IN MST'!$Z16="ST",'[1]LMP IN MST'!$AA16="NORM",'[1]LMP IN MST'!$AB16="NOV"),'[1]LMP IN PPT'!P18,IF(AND('[1]LMP IN PPT'!$A18='[1]LMP IN MST'!$A16,'[1]LMP IN MST'!$Z16="DST",'[1]LMP IN MST'!$AA16="SF",'[1]LMP IN MST'!$AB16="MAR"),'[1]LMP IN PPT'!P18,IF(AND('[1]LMP IN PPT'!$A18='[1]LMP IN MST'!$A16,'[1]LMP IN MST'!$Z16="DST",'[1]LMP IN MST'!$AA16="NORM",'[1]LMP IN MST'!$AB16="NOV"),'[1]LMP IN PPT'!Q18,IF(AND('[1]LMP IN PPT'!$A18='[1]LMP IN MST'!$A16,'[1]LMP IN MST'!$Z16="DST",'[1]LMP IN MST'!$AA16="NORM",OR('[1]LMP IN MST'!$AB16="MAR",'[1]LMP IN MST'!$AB16="")),'[1]LMP IN PPT'!P18,0))))))</f>
        <v>2.5760299999999998</v>
      </c>
      <c r="N16">
        <f>IF(AND('[1]LMP IN PPT'!$A18='[1]LMP IN MST'!$A16,'[1]LMP IN MST'!$Z16="ST",'[1]LMP IN MST'!$AA16="NORM",OR('[1]LMP IN MST'!$AB16="MAR",'[1]LMP IN MST'!$AB16="")),'[1]LMP IN PPT'!P18,IF(AND('[1]LMP IN PPT'!$A18='[1]LMP IN MST'!$A16,'[1]LMP IN MST'!$Z16="DST",'[1]LMP IN MST'!$AA16="FB",'[1]LMP IN MST'!$AB16="NOV"),'[1]LMP IN PPT'!Q18,IF(AND('[1]LMP IN PPT'!$A18='[1]LMP IN MST'!$A16,'[1]LMP IN MST'!$Z16="ST",'[1]LMP IN MST'!$AA16="NORM",'[1]LMP IN MST'!$AB16="NOV"),'[1]LMP IN PPT'!Q18,IF(AND('[1]LMP IN PPT'!$A18='[1]LMP IN MST'!$A16,'[1]LMP IN MST'!$Z16="DST",'[1]LMP IN MST'!$AA16="SF",'[1]LMP IN MST'!$AB16="MAR"),'[1]LMP IN PPT'!Q18,IF(AND('[1]LMP IN PPT'!$A18='[1]LMP IN MST'!$A16,'[1]LMP IN MST'!$Z16="DST",'[1]LMP IN MST'!$AA16="NORM",'[1]LMP IN MST'!$AB16="NOV"),'[1]LMP IN PPT'!R18,IF(AND('[1]LMP IN PPT'!$A18='[1]LMP IN MST'!$A16,'[1]LMP IN MST'!$Z16="DST",'[1]LMP IN MST'!$AA16="NORM",OR('[1]LMP IN MST'!$AB16="MAR",'[1]LMP IN MST'!$AB16="")),'[1]LMP IN PPT'!Q18,0))))))</f>
        <v>0.95916999999999997</v>
      </c>
      <c r="O16">
        <f>IF(AND('[1]LMP IN PPT'!$A18='[1]LMP IN MST'!$A16,'[1]LMP IN MST'!$Z16="ST",'[1]LMP IN MST'!$AA16="NORM",OR('[1]LMP IN MST'!$AB16="MAR",'[1]LMP IN MST'!$AB16="")),'[1]LMP IN PPT'!Q18,IF(AND('[1]LMP IN PPT'!$A18='[1]LMP IN MST'!$A16,'[1]LMP IN MST'!$Z16="DST",'[1]LMP IN MST'!$AA16="FB",'[1]LMP IN MST'!$AB16="NOV"),'[1]LMP IN PPT'!R18,IF(AND('[1]LMP IN PPT'!$A18='[1]LMP IN MST'!$A16,'[1]LMP IN MST'!$Z16="ST",'[1]LMP IN MST'!$AA16="NORM",'[1]LMP IN MST'!$AB16="NOV"),'[1]LMP IN PPT'!R18,IF(AND('[1]LMP IN PPT'!$A18='[1]LMP IN MST'!$A16,'[1]LMP IN MST'!$Z16="DST",'[1]LMP IN MST'!$AA16="SF",'[1]LMP IN MST'!$AB16="MAR"),'[1]LMP IN PPT'!R18,IF(AND('[1]LMP IN PPT'!$A18='[1]LMP IN MST'!$A16,'[1]LMP IN MST'!$Z16="DST",'[1]LMP IN MST'!$AA16="NORM",'[1]LMP IN MST'!$AB16="NOV"),'[1]LMP IN PPT'!S18,IF(AND('[1]LMP IN PPT'!$A18='[1]LMP IN MST'!$A16,'[1]LMP IN MST'!$Z16="DST",'[1]LMP IN MST'!$AA16="NORM",OR('[1]LMP IN MST'!$AB16="MAR",'[1]LMP IN MST'!$AB16="")),'[1]LMP IN PPT'!R18,0))))))</f>
        <v>1.85622</v>
      </c>
      <c r="P16">
        <f>IF(AND('[1]LMP IN PPT'!$A18='[1]LMP IN MST'!$A16,'[1]LMP IN MST'!$Z16="ST",'[1]LMP IN MST'!$AA16="NORM",OR('[1]LMP IN MST'!$AB16="MAR",'[1]LMP IN MST'!$AB16="")),'[1]LMP IN PPT'!R18,IF(AND('[1]LMP IN PPT'!$A18='[1]LMP IN MST'!$A16,'[1]LMP IN MST'!$Z16="DST",'[1]LMP IN MST'!$AA16="FB",'[1]LMP IN MST'!$AB16="NOV"),'[1]LMP IN PPT'!S18,IF(AND('[1]LMP IN PPT'!$A18='[1]LMP IN MST'!$A16,'[1]LMP IN MST'!$Z16="ST",'[1]LMP IN MST'!$AA16="NORM",'[1]LMP IN MST'!$AB16="NOV"),'[1]LMP IN PPT'!S18,IF(AND('[1]LMP IN PPT'!$A18='[1]LMP IN MST'!$A16,'[1]LMP IN MST'!$Z16="DST",'[1]LMP IN MST'!$AA16="SF",'[1]LMP IN MST'!$AB16="MAR"),'[1]LMP IN PPT'!S18,IF(AND('[1]LMP IN PPT'!$A18='[1]LMP IN MST'!$A16,'[1]LMP IN MST'!$Z16="DST",'[1]LMP IN MST'!$AA16="NORM",'[1]LMP IN MST'!$AB16="NOV"),'[1]LMP IN PPT'!T18,IF(AND('[1]LMP IN PPT'!$A18='[1]LMP IN MST'!$A16,'[1]LMP IN MST'!$Z16="DST",'[1]LMP IN MST'!$AA16="NORM",OR('[1]LMP IN MST'!$AB16="MAR",'[1]LMP IN MST'!$AB16="")),'[1]LMP IN PPT'!S18,0))))))</f>
        <v>4.3508300000000002</v>
      </c>
      <c r="Q16">
        <f>IF(AND('[1]LMP IN PPT'!$A18='[1]LMP IN MST'!$A16,'[1]LMP IN MST'!$Z16="ST",'[1]LMP IN MST'!$AA16="NORM",OR('[1]LMP IN MST'!$AB16="MAR",'[1]LMP IN MST'!$AB16="")),'[1]LMP IN PPT'!S18,IF(AND('[1]LMP IN PPT'!$A18='[1]LMP IN MST'!$A16,'[1]LMP IN MST'!$Z16="DST",'[1]LMP IN MST'!$AA16="FB",'[1]LMP IN MST'!$AB16="NOV"),'[1]LMP IN PPT'!T18,IF(AND('[1]LMP IN PPT'!$A18='[1]LMP IN MST'!$A16,'[1]LMP IN MST'!$Z16="ST",'[1]LMP IN MST'!$AA16="NORM",'[1]LMP IN MST'!$AB16="NOV"),'[1]LMP IN PPT'!T18,IF(AND('[1]LMP IN PPT'!$A18='[1]LMP IN MST'!$A16,'[1]LMP IN MST'!$Z16="DST",'[1]LMP IN MST'!$AA16="SF",'[1]LMP IN MST'!$AB16="MAR"),'[1]LMP IN PPT'!T18,IF(AND('[1]LMP IN PPT'!$A18='[1]LMP IN MST'!$A16,'[1]LMP IN MST'!$Z16="DST",'[1]LMP IN MST'!$AA16="NORM",'[1]LMP IN MST'!$AB16="NOV"),'[1]LMP IN PPT'!U18,IF(AND('[1]LMP IN PPT'!$A18='[1]LMP IN MST'!$A16,'[1]LMP IN MST'!$Z16="DST",'[1]LMP IN MST'!$AA16="NORM",OR('[1]LMP IN MST'!$AB16="MAR",'[1]LMP IN MST'!$AB16="")),'[1]LMP IN PPT'!T18,0))))))</f>
        <v>8.7768200000000007</v>
      </c>
      <c r="R16">
        <f>IF(AND('[1]LMP IN PPT'!$A18='[1]LMP IN MST'!$A16,'[1]LMP IN MST'!$Z16="ST",'[1]LMP IN MST'!$AA16="NORM",OR('[1]LMP IN MST'!$AB16="MAR",'[1]LMP IN MST'!$AB16="")),'[1]LMP IN PPT'!T18,IF(AND('[1]LMP IN PPT'!$A18='[1]LMP IN MST'!$A16,'[1]LMP IN MST'!$Z16="DST",'[1]LMP IN MST'!$AA16="FB",'[1]LMP IN MST'!$AB16="NOV"),'[1]LMP IN PPT'!U18,IF(AND('[1]LMP IN PPT'!$A18='[1]LMP IN MST'!$A16,'[1]LMP IN MST'!$Z16="ST",'[1]LMP IN MST'!$AA16="NORM",'[1]LMP IN MST'!$AB16="NOV"),'[1]LMP IN PPT'!U18,IF(AND('[1]LMP IN PPT'!$A18='[1]LMP IN MST'!$A16,'[1]LMP IN MST'!$Z16="DST",'[1]LMP IN MST'!$AA16="SF",'[1]LMP IN MST'!$AB16="MAR"),'[1]LMP IN PPT'!U18,IF(AND('[1]LMP IN PPT'!$A18='[1]LMP IN MST'!$A16,'[1]LMP IN MST'!$Z16="DST",'[1]LMP IN MST'!$AA16="NORM",'[1]LMP IN MST'!$AB16="NOV"),'[1]LMP IN PPT'!V18,IF(AND('[1]LMP IN PPT'!$A18='[1]LMP IN MST'!$A16,'[1]LMP IN MST'!$Z16="DST",'[1]LMP IN MST'!$AA16="NORM",OR('[1]LMP IN MST'!$AB16="MAR",'[1]LMP IN MST'!$AB16="")),'[1]LMP IN PPT'!U18,0))))))</f>
        <v>13.97161</v>
      </c>
      <c r="S16">
        <f>IF(AND('[1]LMP IN PPT'!$A18='[1]LMP IN MST'!$A16,'[1]LMP IN MST'!$Z16="ST",'[1]LMP IN MST'!$AA16="NORM",OR('[1]LMP IN MST'!$AB16="MAR",'[1]LMP IN MST'!$AB16="")),'[1]LMP IN PPT'!U18,IF(AND('[1]LMP IN PPT'!$A18='[1]LMP IN MST'!$A16,'[1]LMP IN MST'!$Z16="DST",'[1]LMP IN MST'!$AA16="FB",'[1]LMP IN MST'!$AB16="NOV"),'[1]LMP IN PPT'!V18,IF(AND('[1]LMP IN PPT'!$A18='[1]LMP IN MST'!$A16,'[1]LMP IN MST'!$Z16="ST",'[1]LMP IN MST'!$AA16="NORM",'[1]LMP IN MST'!$AB16="NOV"),'[1]LMP IN PPT'!V18,IF(AND('[1]LMP IN PPT'!$A18='[1]LMP IN MST'!$A16,'[1]LMP IN MST'!$Z16="DST",'[1]LMP IN MST'!$AA16="SF",'[1]LMP IN MST'!$AB16="MAR"),'[1]LMP IN PPT'!V18,IF(AND('[1]LMP IN PPT'!$A18='[1]LMP IN MST'!$A16,'[1]LMP IN MST'!$Z16="DST",'[1]LMP IN MST'!$AA16="NORM",'[1]LMP IN MST'!$AB16="NOV"),'[1]LMP IN PPT'!W18,IF(AND('[1]LMP IN PPT'!$A18='[1]LMP IN MST'!$A16,'[1]LMP IN MST'!$Z16="DST",'[1]LMP IN MST'!$AA16="NORM",OR('[1]LMP IN MST'!$AB16="MAR",'[1]LMP IN MST'!$AB16="")),'[1]LMP IN PPT'!V18,0))))))</f>
        <v>34.882730000000002</v>
      </c>
      <c r="T16">
        <f>IF(AND('[1]LMP IN PPT'!$A18='[1]LMP IN MST'!$A16,'[1]LMP IN MST'!$Z16="ST",'[1]LMP IN MST'!$AA16="NORM",OR('[1]LMP IN MST'!$AB16="MAR",'[1]LMP IN MST'!$AB16="")),'[1]LMP IN PPT'!V18,IF(AND('[1]LMP IN PPT'!$A18='[1]LMP IN MST'!$A16,'[1]LMP IN MST'!$Z16="DST",'[1]LMP IN MST'!$AA16="FB",'[1]LMP IN MST'!$AB16="NOV"),'[1]LMP IN PPT'!W18,IF(AND('[1]LMP IN PPT'!$A18='[1]LMP IN MST'!$A16,'[1]LMP IN MST'!$Z16="ST",'[1]LMP IN MST'!$AA16="NORM",'[1]LMP IN MST'!$AB16="NOV"),'[1]LMP IN PPT'!W18,IF(AND('[1]LMP IN PPT'!$A18='[1]LMP IN MST'!$A16,'[1]LMP IN MST'!$Z16="DST",'[1]LMP IN MST'!$AA16="SF",'[1]LMP IN MST'!$AB16="MAR"),'[1]LMP IN PPT'!W18,IF(AND('[1]LMP IN PPT'!$A18='[1]LMP IN MST'!$A16,'[1]LMP IN MST'!$Z16="DST",'[1]LMP IN MST'!$AA16="NORM",'[1]LMP IN MST'!$AB16="NOV"),'[1]LMP IN PPT'!X18,IF(AND('[1]LMP IN PPT'!$A18='[1]LMP IN MST'!$A16,'[1]LMP IN MST'!$Z16="DST",'[1]LMP IN MST'!$AA16="NORM",OR('[1]LMP IN MST'!$AB16="MAR",'[1]LMP IN MST'!$AB16="")),'[1]LMP IN PPT'!W18,0))))))</f>
        <v>47.379950000000001</v>
      </c>
      <c r="U16">
        <f>IF(AND('[1]LMP IN PPT'!$A18='[1]LMP IN MST'!$A16,'[1]LMP IN MST'!$Z16="ST",'[1]LMP IN MST'!$AA16="NORM",OR('[1]LMP IN MST'!$AB16="MAR",'[1]LMP IN MST'!$AB16="")),'[1]LMP IN PPT'!W18,IF(AND('[1]LMP IN PPT'!$A18='[1]LMP IN MST'!$A16,'[1]LMP IN MST'!$Z16="DST",'[1]LMP IN MST'!$AA16="FB",'[1]LMP IN MST'!$AB16="NOV"),'[1]LMP IN PPT'!X18,IF(AND('[1]LMP IN PPT'!$A18='[1]LMP IN MST'!$A16,'[1]LMP IN MST'!$Z16="ST",'[1]LMP IN MST'!$AA16="NORM",'[1]LMP IN MST'!$AB16="NOV"),'[1]LMP IN PPT'!X18,IF(AND('[1]LMP IN PPT'!$A18='[1]LMP IN MST'!$A16,'[1]LMP IN MST'!$Z16="DST",'[1]LMP IN MST'!$AA16="SF",'[1]LMP IN MST'!$AB16="MAR"),'[1]LMP IN PPT'!X18,IF(AND('[1]LMP IN PPT'!$A18='[1]LMP IN MST'!$A16,'[1]LMP IN MST'!$Z16="DST",'[1]LMP IN MST'!$AA16="NORM",'[1]LMP IN MST'!$AB16="NOV"),'[1]LMP IN PPT'!Y18,IF(AND('[1]LMP IN PPT'!$A18='[1]LMP IN MST'!$A16,'[1]LMP IN MST'!$Z16="DST",'[1]LMP IN MST'!$AA16="NORM",OR('[1]LMP IN MST'!$AB16="MAR",'[1]LMP IN MST'!$AB16="")),'[1]LMP IN PPT'!X18,0))))))</f>
        <v>48.746290000000002</v>
      </c>
      <c r="V16">
        <f>IF(AND('[1]LMP IN PPT'!$A18='[1]LMP IN MST'!$A16,'[1]LMP IN MST'!$Z16="ST",'[1]LMP IN MST'!$AA16="NORM",OR('[1]LMP IN MST'!$AB16="MAR",'[1]LMP IN MST'!$AB16="")),'[1]LMP IN PPT'!X18,IF(AND('[1]LMP IN PPT'!$A18='[1]LMP IN MST'!$A16,'[1]LMP IN MST'!$Z16="DST",'[1]LMP IN MST'!$AA16="FB",'[1]LMP IN MST'!$AB16="NOV"),'[1]LMP IN PPT'!Y18,IF(AND('[1]LMP IN PPT'!$A18='[1]LMP IN MST'!$A16,'[1]LMP IN MST'!$Z16="ST",'[1]LMP IN MST'!$AA16="NORM",'[1]LMP IN MST'!$AB16="NOV"),'[1]LMP IN PPT'!Y18,IF(AND('[1]LMP IN PPT'!$A18='[1]LMP IN MST'!$A16,'[1]LMP IN MST'!$Z16="DST",'[1]LMP IN MST'!$AA16="SF",'[1]LMP IN MST'!$AB16="MAR"),'[1]LMP IN PPT'!Y18,IF(AND('[1]LMP IN PPT'!$A18='[1]LMP IN MST'!$A16,'[1]LMP IN MST'!$Z16="DST",'[1]LMP IN MST'!$AA16="NORM",'[1]LMP IN MST'!$AB16="NOV"),'[1]LMP IN PPT'!Z18,IF(AND('[1]LMP IN PPT'!$A18='[1]LMP IN MST'!$A16,'[1]LMP IN MST'!$Z16="DST",'[1]LMP IN MST'!$AA16="NORM",OR('[1]LMP IN MST'!$AB16="MAR",'[1]LMP IN MST'!$AB16="")),'[1]LMP IN PPT'!Y18,0))))))</f>
        <v>48.272350000000003</v>
      </c>
      <c r="W16">
        <f>IF(AND('[1]LMP IN PPT'!$A18='[1]LMP IN MST'!$A16,'[1]LMP IN MST'!$Z16="ST",'[1]LMP IN MST'!$AA16="NORM",OR('[1]LMP IN MST'!$AB16="MAR",'[1]LMP IN MST'!$AB16="")),'[1]LMP IN PPT'!Y18,IF(AND('[1]LMP IN PPT'!$A18='[1]LMP IN MST'!$A16,'[1]LMP IN MST'!$Z16="DST",'[1]LMP IN MST'!$AA16="FB",'[1]LMP IN MST'!$AB16="NOV"),'[1]LMP IN PPT'!Z18,IF(AND('[1]LMP IN PPT'!$A18='[1]LMP IN MST'!$A16,'[1]LMP IN MST'!$Z16="ST",'[1]LMP IN MST'!$AA16="NORM",'[1]LMP IN MST'!$AB16="NOV"),'[1]LMP IN PPT'!Z18,IF(AND('[1]LMP IN PPT'!$A18='[1]LMP IN MST'!$A16,'[1]LMP IN MST'!$Z16="DST",'[1]LMP IN MST'!$AA16="SF",'[1]LMP IN MST'!$AB16="MAR"),'[1]LMP IN PPT'!Z18,IF(AND('[1]LMP IN PPT'!$A18='[1]LMP IN MST'!$A16,'[1]LMP IN MST'!$Z16="DST",'[1]LMP IN MST'!$AA16="NORM",'[1]LMP IN MST'!$AB16="NOV"),'[1]LMP IN PPT'!AA18,IF(AND('[1]LMP IN PPT'!$A18='[1]LMP IN MST'!$A16,'[1]LMP IN MST'!$Z16="DST",'[1]LMP IN MST'!$AA16="NORM",OR('[1]LMP IN MST'!$AB16="MAR",'[1]LMP IN MST'!$AB16="")),'[1]LMP IN PPT'!Z18,0))))))</f>
        <v>47.035769999999999</v>
      </c>
      <c r="X16">
        <f>IF(AND('[1]LMP IN PPT'!$A18='[1]LMP IN MST'!$A16,'[1]LMP IN MST'!$Z16="ST",'[1]LMP IN MST'!$AA16="NORM",OR('[1]LMP IN MST'!$AB16="MAR",'[1]LMP IN MST'!$AB16="")),'[1]LMP IN PPT'!Z18,IF(AND('[1]LMP IN PPT'!$A18='[1]LMP IN MST'!$A16,'[1]LMP IN MST'!$Z16="DST",'[1]LMP IN MST'!$AA16="FB",'[1]LMP IN MST'!$AB16="NOV"),'[1]LMP IN PPT'!AA18,IF(AND('[1]LMP IN PPT'!$A18='[1]LMP IN MST'!$A16,'[1]LMP IN MST'!$Z16="ST",'[1]LMP IN MST'!$AA16="NORM",'[1]LMP IN MST'!$AB16="NOV"),'[1]LMP IN PPT'!AA18,IF(AND('[1]LMP IN PPT'!$A18='[1]LMP IN MST'!$A16,'[1]LMP IN MST'!$Z16="DST",'[1]LMP IN MST'!$AA16="SF",'[1]LMP IN MST'!$AB16="MAR"),'[1]LMP IN PPT'!AA18,IF(AND('[1]LMP IN PPT'!$A18='[1]LMP IN MST'!$A16,'[1]LMP IN MST'!$Z16="DST",'[1]LMP IN MST'!$AA16="NORM",'[1]LMP IN MST'!$AB16="NOV"),'[1]LMP IN PPT'!AB18,IF(AND('[1]LMP IN PPT'!$A18='[1]LMP IN MST'!$A16,'[1]LMP IN MST'!$Z16="DST",'[1]LMP IN MST'!$AA16="NORM",OR('[1]LMP IN MST'!$AB16="MAR",'[1]LMP IN MST'!$AB16="")),'[1]LMP IN PPT'!AA18,0))))))</f>
        <v>46.233220000000003</v>
      </c>
      <c r="Y16">
        <f>IF(AND('[1]LMP IN PPT'!$A18='[1]LMP IN MST'!$A16,'[1]LMP IN MST'!$Z16="ST",'[1]LMP IN MST'!$AA16="NORM",OR('[1]LMP IN MST'!$AB16="MAR",'[1]LMP IN MST'!$AB16="")),'[1]LMP IN PPT'!AA18,IF(AND('[1]LMP IN PPT'!$A18='[1]LMP IN MST'!$A16,'[1]LMP IN MST'!$Z16="DST",'[1]LMP IN MST'!$AA16="FB",'[1]LMP IN MST'!$AB16="NOV"),'[1]LMP IN PPT'!AB18,IF(AND('[1]LMP IN PPT'!$A18='[1]LMP IN MST'!$A16,'[1]LMP IN MST'!$Z16="ST",'[1]LMP IN MST'!$AA16="NORM",'[1]LMP IN MST'!$AB16="NOV"),'[1]LMP IN PPT'!AB18,IF(AND('[1]LMP IN PPT'!$A18='[1]LMP IN MST'!$A16,'[1]LMP IN MST'!$Z16="DST",'[1]LMP IN MST'!$AA16="SF",'[1]LMP IN MST'!$AB16="MAR"),'[1]LMP IN PPT'!AB18,IF(AND('[1]LMP IN PPT'!$A18='[1]LMP IN MST'!$A16,'[1]LMP IN MST'!$Z16="DST",'[1]LMP IN MST'!$AA16="NORM",'[1]LMP IN MST'!$AB16="NOV"),'[1]LMP IN PPT'!AC18,IF(AND('[1]LMP IN PPT'!$A18='[1]LMP IN MST'!$A16,'[1]LMP IN MST'!$Z16="DST",'[1]LMP IN MST'!$AA16="NORM",OR('[1]LMP IN MST'!$AB16="MAR",'[1]LMP IN MST'!$AB16="")),'[1]LMP IN PPT'!AB18,0))))))</f>
        <v>40.271659999999997</v>
      </c>
    </row>
    <row r="17" spans="1:25" x14ac:dyDescent="0.3">
      <c r="A17" s="1">
        <f t="shared" si="0"/>
        <v>45367</v>
      </c>
      <c r="B17">
        <f>IF(AND('[1]LMP IN PPT'!$A19='[1]LMP IN MST'!$A17,'[1]LMP IN MST'!$Z17="ST",'[1]LMP IN MST'!$AA17="NORM",'[1]LMP IN MST'!$AB17="NOV"),'[1]LMP IN PPT'!AC18,IF(AND('[1]LMP IN PPT'!$A19='[1]LMP IN MST'!$A17,'[1]LMP IN MST'!$Z17="ST",'[1]LMP IN MST'!$AA17="NORM",'[1]LMP IN MST'!$AB17="MAR"),'[1]LMP IN PPT'!AB18,IF(AND('[1]LMP IN PPT'!$A19='[1]LMP IN MST'!$A17,'[1]LMP IN MST'!$Z17="ST",'[1]LMP IN MST'!$AA17="NORM",'[1]LMP IN MST'!$AB17=""),'[1]LMP IN PPT'!AB18,IF(AND('[1]LMP IN PPT'!$A19='[1]LMP IN MST'!$A17,'[1]LMP IN MST'!$Z17="DST",'[1]LMP IN MST'!$AA17="FB",'[1]LMP IN MST'!$AB17="NOV"),'[1]LMP IN PPT'!E19,IF(AND('[1]LMP IN PPT'!$A19='[1]LMP IN MST'!$A17,'[1]LMP IN MST'!$Z17="DST",'[1]LMP IN MST'!$AA17="SF",'[1]LMP IN MST'!$AB17="MAR"),'[1]LMP IN PPT'!AB18,IF(AND('[1]LMP IN PPT'!$A19='[1]LMP IN MST'!$A17,'[1]LMP IN MST'!$Z17="DST",'[1]LMP IN MST'!$AA17="NORM",OR('[1]LMP IN MST'!$AB17="MAR",'[1]LMP IN MST'!$AB17="",'[1]LMP IN MST'!$AB17="NOV")),'[1]LMP IN PPT'!E19,0))))))</f>
        <v>48.270539999999997</v>
      </c>
      <c r="C17">
        <f>IF(AND('[1]LMP IN PPT'!$A19='[1]LMP IN MST'!$A17,'[1]LMP IN MST'!$Z17="ST",'[1]LMP IN MST'!$AA17="NORM",OR('[1]LMP IN MST'!$AB17="NOV",'[1]LMP IN MST'!$AB17="MAR",'[1]LMP IN MST'!$AB17="")),'[1]LMP IN PPT'!E19,IF(AND('[1]LMP IN PPT'!$A19='[1]LMP IN MST'!$A17,'[1]LMP IN MST'!$Z17="DST",'[1]LMP IN MST'!$AA17="FB",'[1]LMP IN MST'!$AB17="NOV"),'[1]LMP IN PPT'!F19,IF(AND('[1]LMP IN PPT'!$A19='[1]LMP IN MST'!$A17,'[1]LMP IN MST'!$Z17="DST",'[1]LMP IN MST'!$AA17="SF",'[1]LMP IN MST'!$AB17="MAR"),'[1]LMP IN PPT'!E19,IF(AND('[1]LMP IN PPT'!$A19='[1]LMP IN MST'!$A17,'[1]LMP IN MST'!$Z17="DST",'[1]LMP IN MST'!$AA17="NORM",OR('[1]LMP IN MST'!$AB17="MAR",'[1]LMP IN MST'!$AB17="",'[1]LMP IN MST'!$AB17="NOV")),'[1]LMP IN PPT'!F19,0))))</f>
        <v>45.004269999999998</v>
      </c>
      <c r="D17">
        <f>IF(AND('[1]LMP IN PPT'!$A19='[1]LMP IN MST'!$A17,'[1]LMP IN MST'!$Z17="ST",'[1]LMP IN MST'!$AA17="NORM",OR('[1]LMP IN MST'!$AB17="NOV",'[1]LMP IN MST'!$AB17="MAR",'[1]LMP IN MST'!$AB17="")),'[1]LMP IN PPT'!F19,IF(AND('[1]LMP IN PPT'!$A19='[1]LMP IN MST'!$A17,'[1]LMP IN MST'!$Z17="DST",'[1]LMP IN MST'!$AA17="FB",'[1]LMP IN MST'!$AB17="NOV"),'[1]LMP IN PPT'!G19,IF(AND('[1]LMP IN PPT'!$A19='[1]LMP IN MST'!$A17,'[1]LMP IN MST'!$Z17="DST",'[1]LMP IN MST'!$AA17="SF",'[1]LMP IN MST'!$AB17="MAR"),'[1]LMP IN PPT'!F19,IF(AND('[1]LMP IN PPT'!$A19='[1]LMP IN MST'!$A17,'[1]LMP IN MST'!$Z17="DST",'[1]LMP IN MST'!$AA17="NORM",'[1]LMP IN MST'!$AB17="NOV"),'[1]LMP IN PPT'!H19,IF(AND('[1]LMP IN PPT'!$A19='[1]LMP IN MST'!$A17,'[1]LMP IN MST'!$Z17="DST",'[1]LMP IN MST'!$AA17="NORM",OR('[1]LMP IN MST'!$AB17="MAR",'[1]LMP IN MST'!$AB17="")),'[1]LMP IN PPT'!G19,0)))))</f>
        <v>41.314729999999997</v>
      </c>
      <c r="E17">
        <f>IF(AND('[1]LMP IN PPT'!$A19='[1]LMP IN MST'!$A17,'[1]LMP IN MST'!$Z17="ST",'[1]LMP IN MST'!$AA17="NORM",OR('[1]LMP IN MST'!$AB17="MAR",'[1]LMP IN MST'!$AB17="")),'[1]LMP IN PPT'!G19,IF(AND('[1]LMP IN PPT'!$A19='[1]LMP IN MST'!$A17,'[1]LMP IN MST'!$Z17="DST",'[1]LMP IN MST'!$AA17="FB",'[1]LMP IN MST'!$AB17="NOV"),'[1]LMP IN PPT'!H19,IF(AND('[1]LMP IN PPT'!$A19='[1]LMP IN MST'!$A17,'[1]LMP IN MST'!$Z17="ST",'[1]LMP IN MST'!$AA17="NORM",'[1]LMP IN MST'!$AB17="NOV"),'[1]LMP IN PPT'!H19,IF(AND('[1]LMP IN PPT'!$A19='[1]LMP IN MST'!$A17,'[1]LMP IN MST'!$Z17="DST",'[1]LMP IN MST'!$AA17="SF",'[1]LMP IN MST'!$AB17="MAR"),'[1]LMP IN PPT'!H19,IF(AND('[1]LMP IN PPT'!$A19='[1]LMP IN MST'!$A17,'[1]LMP IN MST'!$Z17="DST",'[1]LMP IN MST'!$AA17="NORM",'[1]LMP IN MST'!$AB17="NOV"),'[1]LMP IN PPT'!I19,IF(AND('[1]LMP IN PPT'!$A19='[1]LMP IN MST'!$A17,'[1]LMP IN MST'!$Z17="DST",'[1]LMP IN MST'!$AA17="NORM",OR('[1]LMP IN MST'!$AB17="MAR",'[1]LMP IN MST'!$AB17="")),'[1]LMP IN PPT'!H19,0))))))</f>
        <v>41.728659999999998</v>
      </c>
      <c r="F17">
        <f>IF(AND('[1]LMP IN PPT'!$A19='[1]LMP IN MST'!$A17,'[1]LMP IN MST'!$Z17="ST",'[1]LMP IN MST'!$AA17="NORM",OR('[1]LMP IN MST'!$AB17="MAR",'[1]LMP IN MST'!$AB17="")),'[1]LMP IN PPT'!H19,IF(AND('[1]LMP IN PPT'!$A19='[1]LMP IN MST'!$A17,'[1]LMP IN MST'!$Z17="DST",'[1]LMP IN MST'!$AA17="FB",'[1]LMP IN MST'!$AB17="NOV"),'[1]LMP IN PPT'!I19,IF(AND('[1]LMP IN PPT'!$A19='[1]LMP IN MST'!$A17,'[1]LMP IN MST'!$Z17="ST",'[1]LMP IN MST'!$AA17="NORM",'[1]LMP IN MST'!$AB17="NOV"),'[1]LMP IN PPT'!I19,IF(AND('[1]LMP IN PPT'!$A19='[1]LMP IN MST'!$A17,'[1]LMP IN MST'!$Z17="DST",'[1]LMP IN MST'!$AA17="SF",'[1]LMP IN MST'!$AB17="MAR"),'[1]LMP IN PPT'!I19,IF(AND('[1]LMP IN PPT'!$A19='[1]LMP IN MST'!$A17,'[1]LMP IN MST'!$Z17="DST",'[1]LMP IN MST'!$AA17="NORM",'[1]LMP IN MST'!$AB17="NOV"),'[1]LMP IN PPT'!J19,IF(AND('[1]LMP IN PPT'!$A19='[1]LMP IN MST'!$A17,'[1]LMP IN MST'!$Z17="DST",'[1]LMP IN MST'!$AA17="NORM",OR('[1]LMP IN MST'!$AB17="MAR",'[1]LMP IN MST'!$AB17="")),'[1]LMP IN PPT'!I19,0))))))</f>
        <v>40.023479999999999</v>
      </c>
      <c r="G17">
        <f>IF(AND('[1]LMP IN PPT'!$A19='[1]LMP IN MST'!$A17,'[1]LMP IN MST'!$Z17="ST",'[1]LMP IN MST'!$AA17="NORM",OR('[1]LMP IN MST'!$AB17="MAR",'[1]LMP IN MST'!$AB17="")),'[1]LMP IN PPT'!I19,IF(AND('[1]LMP IN PPT'!$A19='[1]LMP IN MST'!$A17,'[1]LMP IN MST'!$Z17="DST",'[1]LMP IN MST'!$AA17="FB",'[1]LMP IN MST'!$AB17="NOV"),'[1]LMP IN PPT'!J19,IF(AND('[1]LMP IN PPT'!$A19='[1]LMP IN MST'!$A17,'[1]LMP IN MST'!$Z17="ST",'[1]LMP IN MST'!$AA17="NORM",'[1]LMP IN MST'!$AB17="NOV"),'[1]LMP IN PPT'!J19,IF(AND('[1]LMP IN PPT'!$A19='[1]LMP IN MST'!$A17,'[1]LMP IN MST'!$Z17="DST",'[1]LMP IN MST'!$AA17="SF",'[1]LMP IN MST'!$AB17="MAR"),'[1]LMP IN PPT'!J19,IF(AND('[1]LMP IN PPT'!$A19='[1]LMP IN MST'!$A17,'[1]LMP IN MST'!$Z17="DST",'[1]LMP IN MST'!$AA17="NORM",'[1]LMP IN MST'!$AB17="NOV"),'[1]LMP IN PPT'!K19,IF(AND('[1]LMP IN PPT'!$A19='[1]LMP IN MST'!$A17,'[1]LMP IN MST'!$Z17="DST",'[1]LMP IN MST'!$AA17="NORM",OR('[1]LMP IN MST'!$AB17="MAR",'[1]LMP IN MST'!$AB17="")),'[1]LMP IN PPT'!J19,0))))))</f>
        <v>47.727910000000001</v>
      </c>
      <c r="H17">
        <f>IF(AND('[1]LMP IN PPT'!$A19='[1]LMP IN MST'!$A17,'[1]LMP IN MST'!$Z17="ST",'[1]LMP IN MST'!$AA17="NORM",OR('[1]LMP IN MST'!$AB17="MAR",'[1]LMP IN MST'!$AB17="")),'[1]LMP IN PPT'!J19,IF(AND('[1]LMP IN PPT'!$A19='[1]LMP IN MST'!$A17,'[1]LMP IN MST'!$Z17="DST",'[1]LMP IN MST'!$AA17="FB",'[1]LMP IN MST'!$AB17="NOV"),'[1]LMP IN PPT'!K19,IF(AND('[1]LMP IN PPT'!$A19='[1]LMP IN MST'!$A17,'[1]LMP IN MST'!$Z17="ST",'[1]LMP IN MST'!$AA17="NORM",'[1]LMP IN MST'!$AB17="NOV"),'[1]LMP IN PPT'!K19,IF(AND('[1]LMP IN PPT'!$A19='[1]LMP IN MST'!$A17,'[1]LMP IN MST'!$Z17="DST",'[1]LMP IN MST'!$AA17="SF",'[1]LMP IN MST'!$AB17="MAR"),'[1]LMP IN PPT'!K19,IF(AND('[1]LMP IN PPT'!$A19='[1]LMP IN MST'!$A17,'[1]LMP IN MST'!$Z17="DST",'[1]LMP IN MST'!$AA17="NORM",'[1]LMP IN MST'!$AB17="NOV"),'[1]LMP IN PPT'!L19,IF(AND('[1]LMP IN PPT'!$A19='[1]LMP IN MST'!$A17,'[1]LMP IN MST'!$Z17="DST",'[1]LMP IN MST'!$AA17="NORM",OR('[1]LMP IN MST'!$AB17="MAR",'[1]LMP IN MST'!$AB17="")),'[1]LMP IN PPT'!K19,0))))))</f>
        <v>50.006</v>
      </c>
      <c r="I17">
        <f>IF(AND('[1]LMP IN PPT'!$A19='[1]LMP IN MST'!$A17,'[1]LMP IN MST'!$Z17="ST",'[1]LMP IN MST'!$AA17="NORM",OR('[1]LMP IN MST'!$AB17="MAR",'[1]LMP IN MST'!$AB17="")),'[1]LMP IN PPT'!K19,IF(AND('[1]LMP IN PPT'!$A19='[1]LMP IN MST'!$A17,'[1]LMP IN MST'!$Z17="DST",'[1]LMP IN MST'!$AA17="FB",'[1]LMP IN MST'!$AB17="NOV"),'[1]LMP IN PPT'!L19,IF(AND('[1]LMP IN PPT'!$A19='[1]LMP IN MST'!$A17,'[1]LMP IN MST'!$Z17="ST",'[1]LMP IN MST'!$AA17="NORM",'[1]LMP IN MST'!$AB17="NOV"),'[1]LMP IN PPT'!L19,IF(AND('[1]LMP IN PPT'!$A19='[1]LMP IN MST'!$A17,'[1]LMP IN MST'!$Z17="DST",'[1]LMP IN MST'!$AA17="SF",'[1]LMP IN MST'!$AB17="MAR"),'[1]LMP IN PPT'!L19,IF(AND('[1]LMP IN PPT'!$A19='[1]LMP IN MST'!$A17,'[1]LMP IN MST'!$Z17="DST",'[1]LMP IN MST'!$AA17="NORM",'[1]LMP IN MST'!$AB17="NOV"),'[1]LMP IN PPT'!M19,IF(AND('[1]LMP IN PPT'!$A19='[1]LMP IN MST'!$A17,'[1]LMP IN MST'!$Z17="DST",'[1]LMP IN MST'!$AA17="NORM",OR('[1]LMP IN MST'!$AB17="MAR",'[1]LMP IN MST'!$AB17="")),'[1]LMP IN PPT'!L19,0))))))</f>
        <v>48.251910000000002</v>
      </c>
      <c r="J17">
        <f>IF(AND('[1]LMP IN PPT'!$A19='[1]LMP IN MST'!$A17,'[1]LMP IN MST'!$Z17="ST",'[1]LMP IN MST'!$AA17="NORM",OR('[1]LMP IN MST'!$AB17="MAR",'[1]LMP IN MST'!$AB17="")),'[1]LMP IN PPT'!L19,IF(AND('[1]LMP IN PPT'!$A19='[1]LMP IN MST'!$A17,'[1]LMP IN MST'!$Z17="DST",'[1]LMP IN MST'!$AA17="FB",'[1]LMP IN MST'!$AB17="NOV"),'[1]LMP IN PPT'!M19,IF(AND('[1]LMP IN PPT'!$A19='[1]LMP IN MST'!$A17,'[1]LMP IN MST'!$Z17="ST",'[1]LMP IN MST'!$AA17="NORM",'[1]LMP IN MST'!$AB17="NOV"),'[1]LMP IN PPT'!M19,IF(AND('[1]LMP IN PPT'!$A19='[1]LMP IN MST'!$A17,'[1]LMP IN MST'!$Z17="DST",'[1]LMP IN MST'!$AA17="SF",'[1]LMP IN MST'!$AB17="MAR"),'[1]LMP IN PPT'!M19,IF(AND('[1]LMP IN PPT'!$A19='[1]LMP IN MST'!$A17,'[1]LMP IN MST'!$Z17="DST",'[1]LMP IN MST'!$AA17="NORM",'[1]LMP IN MST'!$AB17="NOV"),'[1]LMP IN PPT'!N19,IF(AND('[1]LMP IN PPT'!$A19='[1]LMP IN MST'!$A17,'[1]LMP IN MST'!$Z17="DST",'[1]LMP IN MST'!$AA17="NORM",OR('[1]LMP IN MST'!$AB17="MAR",'[1]LMP IN MST'!$AB17="")),'[1]LMP IN PPT'!M19,0))))))</f>
        <v>29.058710000000001</v>
      </c>
      <c r="K17">
        <f>IF(AND('[1]LMP IN PPT'!$A19='[1]LMP IN MST'!$A17,'[1]LMP IN MST'!$Z17="ST",'[1]LMP IN MST'!$AA17="NORM",OR('[1]LMP IN MST'!$AB17="MAR",'[1]LMP IN MST'!$AB17="")),'[1]LMP IN PPT'!M19,IF(AND('[1]LMP IN PPT'!$A19='[1]LMP IN MST'!$A17,'[1]LMP IN MST'!$Z17="DST",'[1]LMP IN MST'!$AA17="FB",'[1]LMP IN MST'!$AB17="NOV"),'[1]LMP IN PPT'!N19,IF(AND('[1]LMP IN PPT'!$A19='[1]LMP IN MST'!$A17,'[1]LMP IN MST'!$Z17="ST",'[1]LMP IN MST'!$AA17="NORM",'[1]LMP IN MST'!$AB17="NOV"),'[1]LMP IN PPT'!N19,IF(AND('[1]LMP IN PPT'!$A19='[1]LMP IN MST'!$A17,'[1]LMP IN MST'!$Z17="DST",'[1]LMP IN MST'!$AA17="SF",'[1]LMP IN MST'!$AB17="MAR"),'[1]LMP IN PPT'!N19,IF(AND('[1]LMP IN PPT'!$A19='[1]LMP IN MST'!$A17,'[1]LMP IN MST'!$Z17="DST",'[1]LMP IN MST'!$AA17="NORM",'[1]LMP IN MST'!$AB17="NOV"),'[1]LMP IN PPT'!O19,IF(AND('[1]LMP IN PPT'!$A19='[1]LMP IN MST'!$A17,'[1]LMP IN MST'!$Z17="DST",'[1]LMP IN MST'!$AA17="NORM",OR('[1]LMP IN MST'!$AB17="MAR",'[1]LMP IN MST'!$AB17="")),'[1]LMP IN PPT'!N19,0))))))</f>
        <v>15.705819999999999</v>
      </c>
      <c r="L17">
        <f>IF(AND('[1]LMP IN PPT'!$A19='[1]LMP IN MST'!$A17,'[1]LMP IN MST'!$Z17="ST",'[1]LMP IN MST'!$AA17="NORM",OR('[1]LMP IN MST'!$AB17="MAR",'[1]LMP IN MST'!$AB17="")),'[1]LMP IN PPT'!N19,IF(AND('[1]LMP IN PPT'!$A19='[1]LMP IN MST'!$A17,'[1]LMP IN MST'!$Z17="DST",'[1]LMP IN MST'!$AA17="FB",'[1]LMP IN MST'!$AB17="NOV"),'[1]LMP IN PPT'!O19,IF(AND('[1]LMP IN PPT'!$A19='[1]LMP IN MST'!$A17,'[1]LMP IN MST'!$Z17="ST",'[1]LMP IN MST'!$AA17="NORM",'[1]LMP IN MST'!$AB17="NOV"),'[1]LMP IN PPT'!O19,IF(AND('[1]LMP IN PPT'!$A19='[1]LMP IN MST'!$A17,'[1]LMP IN MST'!$Z17="DST",'[1]LMP IN MST'!$AA17="SF",'[1]LMP IN MST'!$AB17="MAR"),'[1]LMP IN PPT'!O19,IF(AND('[1]LMP IN PPT'!$A19='[1]LMP IN MST'!$A17,'[1]LMP IN MST'!$Z17="DST",'[1]LMP IN MST'!$AA17="NORM",'[1]LMP IN MST'!$AB17="NOV"),'[1]LMP IN PPT'!P19,IF(AND('[1]LMP IN PPT'!$A19='[1]LMP IN MST'!$A17,'[1]LMP IN MST'!$Z17="DST",'[1]LMP IN MST'!$AA17="NORM",OR('[1]LMP IN MST'!$AB17="MAR",'[1]LMP IN MST'!$AB17="")),'[1]LMP IN PPT'!O19,0))))))</f>
        <v>-6.7836800000000004</v>
      </c>
      <c r="M17">
        <f>IF(AND('[1]LMP IN PPT'!$A19='[1]LMP IN MST'!$A17,'[1]LMP IN MST'!$Z17="ST",'[1]LMP IN MST'!$AA17="NORM",OR('[1]LMP IN MST'!$AB17="MAR",'[1]LMP IN MST'!$AB17="")),'[1]LMP IN PPT'!O19,IF(AND('[1]LMP IN PPT'!$A19='[1]LMP IN MST'!$A17,'[1]LMP IN MST'!$Z17="DST",'[1]LMP IN MST'!$AA17="FB",'[1]LMP IN MST'!$AB17="NOV"),'[1]LMP IN PPT'!P19,IF(AND('[1]LMP IN PPT'!$A19='[1]LMP IN MST'!$A17,'[1]LMP IN MST'!$Z17="ST",'[1]LMP IN MST'!$AA17="NORM",'[1]LMP IN MST'!$AB17="NOV"),'[1]LMP IN PPT'!P19,IF(AND('[1]LMP IN PPT'!$A19='[1]LMP IN MST'!$A17,'[1]LMP IN MST'!$Z17="DST",'[1]LMP IN MST'!$AA17="SF",'[1]LMP IN MST'!$AB17="MAR"),'[1]LMP IN PPT'!P19,IF(AND('[1]LMP IN PPT'!$A19='[1]LMP IN MST'!$A17,'[1]LMP IN MST'!$Z17="DST",'[1]LMP IN MST'!$AA17="NORM",'[1]LMP IN MST'!$AB17="NOV"),'[1]LMP IN PPT'!Q19,IF(AND('[1]LMP IN PPT'!$A19='[1]LMP IN MST'!$A17,'[1]LMP IN MST'!$Z17="DST",'[1]LMP IN MST'!$AA17="NORM",OR('[1]LMP IN MST'!$AB17="MAR",'[1]LMP IN MST'!$AB17="")),'[1]LMP IN PPT'!P19,0))))))</f>
        <v>-9.9380900000000008</v>
      </c>
      <c r="N17">
        <f>IF(AND('[1]LMP IN PPT'!$A19='[1]LMP IN MST'!$A17,'[1]LMP IN MST'!$Z17="ST",'[1]LMP IN MST'!$AA17="NORM",OR('[1]LMP IN MST'!$AB17="MAR",'[1]LMP IN MST'!$AB17="")),'[1]LMP IN PPT'!P19,IF(AND('[1]LMP IN PPT'!$A19='[1]LMP IN MST'!$A17,'[1]LMP IN MST'!$Z17="DST",'[1]LMP IN MST'!$AA17="FB",'[1]LMP IN MST'!$AB17="NOV"),'[1]LMP IN PPT'!Q19,IF(AND('[1]LMP IN PPT'!$A19='[1]LMP IN MST'!$A17,'[1]LMP IN MST'!$Z17="ST",'[1]LMP IN MST'!$AA17="NORM",'[1]LMP IN MST'!$AB17="NOV"),'[1]LMP IN PPT'!Q19,IF(AND('[1]LMP IN PPT'!$A19='[1]LMP IN MST'!$A17,'[1]LMP IN MST'!$Z17="DST",'[1]LMP IN MST'!$AA17="SF",'[1]LMP IN MST'!$AB17="MAR"),'[1]LMP IN PPT'!Q19,IF(AND('[1]LMP IN PPT'!$A19='[1]LMP IN MST'!$A17,'[1]LMP IN MST'!$Z17="DST",'[1]LMP IN MST'!$AA17="NORM",'[1]LMP IN MST'!$AB17="NOV"),'[1]LMP IN PPT'!R19,IF(AND('[1]LMP IN PPT'!$A19='[1]LMP IN MST'!$A17,'[1]LMP IN MST'!$Z17="DST",'[1]LMP IN MST'!$AA17="NORM",OR('[1]LMP IN MST'!$AB17="MAR",'[1]LMP IN MST'!$AB17="")),'[1]LMP IN PPT'!Q19,0))))))</f>
        <v>-10.734579999999999</v>
      </c>
      <c r="O17">
        <f>IF(AND('[1]LMP IN PPT'!$A19='[1]LMP IN MST'!$A17,'[1]LMP IN MST'!$Z17="ST",'[1]LMP IN MST'!$AA17="NORM",OR('[1]LMP IN MST'!$AB17="MAR",'[1]LMP IN MST'!$AB17="")),'[1]LMP IN PPT'!Q19,IF(AND('[1]LMP IN PPT'!$A19='[1]LMP IN MST'!$A17,'[1]LMP IN MST'!$Z17="DST",'[1]LMP IN MST'!$AA17="FB",'[1]LMP IN MST'!$AB17="NOV"),'[1]LMP IN PPT'!R19,IF(AND('[1]LMP IN PPT'!$A19='[1]LMP IN MST'!$A17,'[1]LMP IN MST'!$Z17="ST",'[1]LMP IN MST'!$AA17="NORM",'[1]LMP IN MST'!$AB17="NOV"),'[1]LMP IN PPT'!R19,IF(AND('[1]LMP IN PPT'!$A19='[1]LMP IN MST'!$A17,'[1]LMP IN MST'!$Z17="DST",'[1]LMP IN MST'!$AA17="SF",'[1]LMP IN MST'!$AB17="MAR"),'[1]LMP IN PPT'!R19,IF(AND('[1]LMP IN PPT'!$A19='[1]LMP IN MST'!$A17,'[1]LMP IN MST'!$Z17="DST",'[1]LMP IN MST'!$AA17="NORM",'[1]LMP IN MST'!$AB17="NOV"),'[1]LMP IN PPT'!S19,IF(AND('[1]LMP IN PPT'!$A19='[1]LMP IN MST'!$A17,'[1]LMP IN MST'!$Z17="DST",'[1]LMP IN MST'!$AA17="NORM",OR('[1]LMP IN MST'!$AB17="MAR",'[1]LMP IN MST'!$AB17="")),'[1]LMP IN PPT'!R19,0))))))</f>
        <v>-10.61835</v>
      </c>
      <c r="P17">
        <f>IF(AND('[1]LMP IN PPT'!$A19='[1]LMP IN MST'!$A17,'[1]LMP IN MST'!$Z17="ST",'[1]LMP IN MST'!$AA17="NORM",OR('[1]LMP IN MST'!$AB17="MAR",'[1]LMP IN MST'!$AB17="")),'[1]LMP IN PPT'!R19,IF(AND('[1]LMP IN PPT'!$A19='[1]LMP IN MST'!$A17,'[1]LMP IN MST'!$Z17="DST",'[1]LMP IN MST'!$AA17="FB",'[1]LMP IN MST'!$AB17="NOV"),'[1]LMP IN PPT'!S19,IF(AND('[1]LMP IN PPT'!$A19='[1]LMP IN MST'!$A17,'[1]LMP IN MST'!$Z17="ST",'[1]LMP IN MST'!$AA17="NORM",'[1]LMP IN MST'!$AB17="NOV"),'[1]LMP IN PPT'!S19,IF(AND('[1]LMP IN PPT'!$A19='[1]LMP IN MST'!$A17,'[1]LMP IN MST'!$Z17="DST",'[1]LMP IN MST'!$AA17="SF",'[1]LMP IN MST'!$AB17="MAR"),'[1]LMP IN PPT'!S19,IF(AND('[1]LMP IN PPT'!$A19='[1]LMP IN MST'!$A17,'[1]LMP IN MST'!$Z17="DST",'[1]LMP IN MST'!$AA17="NORM",'[1]LMP IN MST'!$AB17="NOV"),'[1]LMP IN PPT'!T19,IF(AND('[1]LMP IN PPT'!$A19='[1]LMP IN MST'!$A17,'[1]LMP IN MST'!$Z17="DST",'[1]LMP IN MST'!$AA17="NORM",OR('[1]LMP IN MST'!$AB17="MAR",'[1]LMP IN MST'!$AB17="")),'[1]LMP IN PPT'!S19,0))))))</f>
        <v>-12.26674</v>
      </c>
      <c r="Q17">
        <f>IF(AND('[1]LMP IN PPT'!$A19='[1]LMP IN MST'!$A17,'[1]LMP IN MST'!$Z17="ST",'[1]LMP IN MST'!$AA17="NORM",OR('[1]LMP IN MST'!$AB17="MAR",'[1]LMP IN MST'!$AB17="")),'[1]LMP IN PPT'!S19,IF(AND('[1]LMP IN PPT'!$A19='[1]LMP IN MST'!$A17,'[1]LMP IN MST'!$Z17="DST",'[1]LMP IN MST'!$AA17="FB",'[1]LMP IN MST'!$AB17="NOV"),'[1]LMP IN PPT'!T19,IF(AND('[1]LMP IN PPT'!$A19='[1]LMP IN MST'!$A17,'[1]LMP IN MST'!$Z17="ST",'[1]LMP IN MST'!$AA17="NORM",'[1]LMP IN MST'!$AB17="NOV"),'[1]LMP IN PPT'!T19,IF(AND('[1]LMP IN PPT'!$A19='[1]LMP IN MST'!$A17,'[1]LMP IN MST'!$Z17="DST",'[1]LMP IN MST'!$AA17="SF",'[1]LMP IN MST'!$AB17="MAR"),'[1]LMP IN PPT'!T19,IF(AND('[1]LMP IN PPT'!$A19='[1]LMP IN MST'!$A17,'[1]LMP IN MST'!$Z17="DST",'[1]LMP IN MST'!$AA17="NORM",'[1]LMP IN MST'!$AB17="NOV"),'[1]LMP IN PPT'!U19,IF(AND('[1]LMP IN PPT'!$A19='[1]LMP IN MST'!$A17,'[1]LMP IN MST'!$Z17="DST",'[1]LMP IN MST'!$AA17="NORM",OR('[1]LMP IN MST'!$AB17="MAR",'[1]LMP IN MST'!$AB17="")),'[1]LMP IN PPT'!T19,0))))))</f>
        <v>-7.5594299999999999</v>
      </c>
      <c r="R17">
        <f>IF(AND('[1]LMP IN PPT'!$A19='[1]LMP IN MST'!$A17,'[1]LMP IN MST'!$Z17="ST",'[1]LMP IN MST'!$AA17="NORM",OR('[1]LMP IN MST'!$AB17="MAR",'[1]LMP IN MST'!$AB17="")),'[1]LMP IN PPT'!T19,IF(AND('[1]LMP IN PPT'!$A19='[1]LMP IN MST'!$A17,'[1]LMP IN MST'!$Z17="DST",'[1]LMP IN MST'!$AA17="FB",'[1]LMP IN MST'!$AB17="NOV"),'[1]LMP IN PPT'!U19,IF(AND('[1]LMP IN PPT'!$A19='[1]LMP IN MST'!$A17,'[1]LMP IN MST'!$Z17="ST",'[1]LMP IN MST'!$AA17="NORM",'[1]LMP IN MST'!$AB17="NOV"),'[1]LMP IN PPT'!U19,IF(AND('[1]LMP IN PPT'!$A19='[1]LMP IN MST'!$A17,'[1]LMP IN MST'!$Z17="DST",'[1]LMP IN MST'!$AA17="SF",'[1]LMP IN MST'!$AB17="MAR"),'[1]LMP IN PPT'!U19,IF(AND('[1]LMP IN PPT'!$A19='[1]LMP IN MST'!$A17,'[1]LMP IN MST'!$Z17="DST",'[1]LMP IN MST'!$AA17="NORM",'[1]LMP IN MST'!$AB17="NOV"),'[1]LMP IN PPT'!V19,IF(AND('[1]LMP IN PPT'!$A19='[1]LMP IN MST'!$A17,'[1]LMP IN MST'!$Z17="DST",'[1]LMP IN MST'!$AA17="NORM",OR('[1]LMP IN MST'!$AB17="MAR",'[1]LMP IN MST'!$AB17="")),'[1]LMP IN PPT'!U19,0))))))</f>
        <v>0.47570000000000001</v>
      </c>
      <c r="S17">
        <f>IF(AND('[1]LMP IN PPT'!$A19='[1]LMP IN MST'!$A17,'[1]LMP IN MST'!$Z17="ST",'[1]LMP IN MST'!$AA17="NORM",OR('[1]LMP IN MST'!$AB17="MAR",'[1]LMP IN MST'!$AB17="")),'[1]LMP IN PPT'!U19,IF(AND('[1]LMP IN PPT'!$A19='[1]LMP IN MST'!$A17,'[1]LMP IN MST'!$Z17="DST",'[1]LMP IN MST'!$AA17="FB",'[1]LMP IN MST'!$AB17="NOV"),'[1]LMP IN PPT'!V19,IF(AND('[1]LMP IN PPT'!$A19='[1]LMP IN MST'!$A17,'[1]LMP IN MST'!$Z17="ST",'[1]LMP IN MST'!$AA17="NORM",'[1]LMP IN MST'!$AB17="NOV"),'[1]LMP IN PPT'!V19,IF(AND('[1]LMP IN PPT'!$A19='[1]LMP IN MST'!$A17,'[1]LMP IN MST'!$Z17="DST",'[1]LMP IN MST'!$AA17="SF",'[1]LMP IN MST'!$AB17="MAR"),'[1]LMP IN PPT'!V19,IF(AND('[1]LMP IN PPT'!$A19='[1]LMP IN MST'!$A17,'[1]LMP IN MST'!$Z17="DST",'[1]LMP IN MST'!$AA17="NORM",'[1]LMP IN MST'!$AB17="NOV"),'[1]LMP IN PPT'!W19,IF(AND('[1]LMP IN PPT'!$A19='[1]LMP IN MST'!$A17,'[1]LMP IN MST'!$Z17="DST",'[1]LMP IN MST'!$AA17="NORM",OR('[1]LMP IN MST'!$AB17="MAR",'[1]LMP IN MST'!$AB17="")),'[1]LMP IN PPT'!V19,0))))))</f>
        <v>29.405650000000001</v>
      </c>
      <c r="T17">
        <f>IF(AND('[1]LMP IN PPT'!$A19='[1]LMP IN MST'!$A17,'[1]LMP IN MST'!$Z17="ST",'[1]LMP IN MST'!$AA17="NORM",OR('[1]LMP IN MST'!$AB17="MAR",'[1]LMP IN MST'!$AB17="")),'[1]LMP IN PPT'!V19,IF(AND('[1]LMP IN PPT'!$A19='[1]LMP IN MST'!$A17,'[1]LMP IN MST'!$Z17="DST",'[1]LMP IN MST'!$AA17="FB",'[1]LMP IN MST'!$AB17="NOV"),'[1]LMP IN PPT'!W19,IF(AND('[1]LMP IN PPT'!$A19='[1]LMP IN MST'!$A17,'[1]LMP IN MST'!$Z17="ST",'[1]LMP IN MST'!$AA17="NORM",'[1]LMP IN MST'!$AB17="NOV"),'[1]LMP IN PPT'!W19,IF(AND('[1]LMP IN PPT'!$A19='[1]LMP IN MST'!$A17,'[1]LMP IN MST'!$Z17="DST",'[1]LMP IN MST'!$AA17="SF",'[1]LMP IN MST'!$AB17="MAR"),'[1]LMP IN PPT'!W19,IF(AND('[1]LMP IN PPT'!$A19='[1]LMP IN MST'!$A17,'[1]LMP IN MST'!$Z17="DST",'[1]LMP IN MST'!$AA17="NORM",'[1]LMP IN MST'!$AB17="NOV"),'[1]LMP IN PPT'!X19,IF(AND('[1]LMP IN PPT'!$A19='[1]LMP IN MST'!$A17,'[1]LMP IN MST'!$Z17="DST",'[1]LMP IN MST'!$AA17="NORM",OR('[1]LMP IN MST'!$AB17="MAR",'[1]LMP IN MST'!$AB17="")),'[1]LMP IN PPT'!W19,0))))))</f>
        <v>45.17062</v>
      </c>
      <c r="U17">
        <f>IF(AND('[1]LMP IN PPT'!$A19='[1]LMP IN MST'!$A17,'[1]LMP IN MST'!$Z17="ST",'[1]LMP IN MST'!$AA17="NORM",OR('[1]LMP IN MST'!$AB17="MAR",'[1]LMP IN MST'!$AB17="")),'[1]LMP IN PPT'!W19,IF(AND('[1]LMP IN PPT'!$A19='[1]LMP IN MST'!$A17,'[1]LMP IN MST'!$Z17="DST",'[1]LMP IN MST'!$AA17="FB",'[1]LMP IN MST'!$AB17="NOV"),'[1]LMP IN PPT'!X19,IF(AND('[1]LMP IN PPT'!$A19='[1]LMP IN MST'!$A17,'[1]LMP IN MST'!$Z17="ST",'[1]LMP IN MST'!$AA17="NORM",'[1]LMP IN MST'!$AB17="NOV"),'[1]LMP IN PPT'!X19,IF(AND('[1]LMP IN PPT'!$A19='[1]LMP IN MST'!$A17,'[1]LMP IN MST'!$Z17="DST",'[1]LMP IN MST'!$AA17="SF",'[1]LMP IN MST'!$AB17="MAR"),'[1]LMP IN PPT'!X19,IF(AND('[1]LMP IN PPT'!$A19='[1]LMP IN MST'!$A17,'[1]LMP IN MST'!$Z17="DST",'[1]LMP IN MST'!$AA17="NORM",'[1]LMP IN MST'!$AB17="NOV"),'[1]LMP IN PPT'!Y19,IF(AND('[1]LMP IN PPT'!$A19='[1]LMP IN MST'!$A17,'[1]LMP IN MST'!$Z17="DST",'[1]LMP IN MST'!$AA17="NORM",OR('[1]LMP IN MST'!$AB17="MAR",'[1]LMP IN MST'!$AB17="")),'[1]LMP IN PPT'!X19,0))))))</f>
        <v>46.571289999999998</v>
      </c>
      <c r="V17">
        <f>IF(AND('[1]LMP IN PPT'!$A19='[1]LMP IN MST'!$A17,'[1]LMP IN MST'!$Z17="ST",'[1]LMP IN MST'!$AA17="NORM",OR('[1]LMP IN MST'!$AB17="MAR",'[1]LMP IN MST'!$AB17="")),'[1]LMP IN PPT'!X19,IF(AND('[1]LMP IN PPT'!$A19='[1]LMP IN MST'!$A17,'[1]LMP IN MST'!$Z17="DST",'[1]LMP IN MST'!$AA17="FB",'[1]LMP IN MST'!$AB17="NOV"),'[1]LMP IN PPT'!Y19,IF(AND('[1]LMP IN PPT'!$A19='[1]LMP IN MST'!$A17,'[1]LMP IN MST'!$Z17="ST",'[1]LMP IN MST'!$AA17="NORM",'[1]LMP IN MST'!$AB17="NOV"),'[1]LMP IN PPT'!Y19,IF(AND('[1]LMP IN PPT'!$A19='[1]LMP IN MST'!$A17,'[1]LMP IN MST'!$Z17="DST",'[1]LMP IN MST'!$AA17="SF",'[1]LMP IN MST'!$AB17="MAR"),'[1]LMP IN PPT'!Y19,IF(AND('[1]LMP IN PPT'!$A19='[1]LMP IN MST'!$A17,'[1]LMP IN MST'!$Z17="DST",'[1]LMP IN MST'!$AA17="NORM",'[1]LMP IN MST'!$AB17="NOV"),'[1]LMP IN PPT'!Z19,IF(AND('[1]LMP IN PPT'!$A19='[1]LMP IN MST'!$A17,'[1]LMP IN MST'!$Z17="DST",'[1]LMP IN MST'!$AA17="NORM",OR('[1]LMP IN MST'!$AB17="MAR",'[1]LMP IN MST'!$AB17="")),'[1]LMP IN PPT'!Y19,0))))))</f>
        <v>46.672870000000003</v>
      </c>
      <c r="W17">
        <f>IF(AND('[1]LMP IN PPT'!$A19='[1]LMP IN MST'!$A17,'[1]LMP IN MST'!$Z17="ST",'[1]LMP IN MST'!$AA17="NORM",OR('[1]LMP IN MST'!$AB17="MAR",'[1]LMP IN MST'!$AB17="")),'[1]LMP IN PPT'!Y19,IF(AND('[1]LMP IN PPT'!$A19='[1]LMP IN MST'!$A17,'[1]LMP IN MST'!$Z17="DST",'[1]LMP IN MST'!$AA17="FB",'[1]LMP IN MST'!$AB17="NOV"),'[1]LMP IN PPT'!Z19,IF(AND('[1]LMP IN PPT'!$A19='[1]LMP IN MST'!$A17,'[1]LMP IN MST'!$Z17="ST",'[1]LMP IN MST'!$AA17="NORM",'[1]LMP IN MST'!$AB17="NOV"),'[1]LMP IN PPT'!Z19,IF(AND('[1]LMP IN PPT'!$A19='[1]LMP IN MST'!$A17,'[1]LMP IN MST'!$Z17="DST",'[1]LMP IN MST'!$AA17="SF",'[1]LMP IN MST'!$AB17="MAR"),'[1]LMP IN PPT'!Z19,IF(AND('[1]LMP IN PPT'!$A19='[1]LMP IN MST'!$A17,'[1]LMP IN MST'!$Z17="DST",'[1]LMP IN MST'!$AA17="NORM",'[1]LMP IN MST'!$AB17="NOV"),'[1]LMP IN PPT'!AA19,IF(AND('[1]LMP IN PPT'!$A19='[1]LMP IN MST'!$A17,'[1]LMP IN MST'!$Z17="DST",'[1]LMP IN MST'!$AA17="NORM",OR('[1]LMP IN MST'!$AB17="MAR",'[1]LMP IN MST'!$AB17="")),'[1]LMP IN PPT'!Z19,0))))))</f>
        <v>46.640320000000003</v>
      </c>
      <c r="X17">
        <f>IF(AND('[1]LMP IN PPT'!$A19='[1]LMP IN MST'!$A17,'[1]LMP IN MST'!$Z17="ST",'[1]LMP IN MST'!$AA17="NORM",OR('[1]LMP IN MST'!$AB17="MAR",'[1]LMP IN MST'!$AB17="")),'[1]LMP IN PPT'!Z19,IF(AND('[1]LMP IN PPT'!$A19='[1]LMP IN MST'!$A17,'[1]LMP IN MST'!$Z17="DST",'[1]LMP IN MST'!$AA17="FB",'[1]LMP IN MST'!$AB17="NOV"),'[1]LMP IN PPT'!AA19,IF(AND('[1]LMP IN PPT'!$A19='[1]LMP IN MST'!$A17,'[1]LMP IN MST'!$Z17="ST",'[1]LMP IN MST'!$AA17="NORM",'[1]LMP IN MST'!$AB17="NOV"),'[1]LMP IN PPT'!AA19,IF(AND('[1]LMP IN PPT'!$A19='[1]LMP IN MST'!$A17,'[1]LMP IN MST'!$Z17="DST",'[1]LMP IN MST'!$AA17="SF",'[1]LMP IN MST'!$AB17="MAR"),'[1]LMP IN PPT'!AA19,IF(AND('[1]LMP IN PPT'!$A19='[1]LMP IN MST'!$A17,'[1]LMP IN MST'!$Z17="DST",'[1]LMP IN MST'!$AA17="NORM",'[1]LMP IN MST'!$AB17="NOV"),'[1]LMP IN PPT'!AB19,IF(AND('[1]LMP IN PPT'!$A19='[1]LMP IN MST'!$A17,'[1]LMP IN MST'!$Z17="DST",'[1]LMP IN MST'!$AA17="NORM",OR('[1]LMP IN MST'!$AB17="MAR",'[1]LMP IN MST'!$AB17="")),'[1]LMP IN PPT'!AA19,0))))))</f>
        <v>42.369340000000001</v>
      </c>
      <c r="Y17">
        <f>IF(AND('[1]LMP IN PPT'!$A19='[1]LMP IN MST'!$A17,'[1]LMP IN MST'!$Z17="ST",'[1]LMP IN MST'!$AA17="NORM",OR('[1]LMP IN MST'!$AB17="MAR",'[1]LMP IN MST'!$AB17="")),'[1]LMP IN PPT'!AA19,IF(AND('[1]LMP IN PPT'!$A19='[1]LMP IN MST'!$A17,'[1]LMP IN MST'!$Z17="DST",'[1]LMP IN MST'!$AA17="FB",'[1]LMP IN MST'!$AB17="NOV"),'[1]LMP IN PPT'!AB19,IF(AND('[1]LMP IN PPT'!$A19='[1]LMP IN MST'!$A17,'[1]LMP IN MST'!$Z17="ST",'[1]LMP IN MST'!$AA17="NORM",'[1]LMP IN MST'!$AB17="NOV"),'[1]LMP IN PPT'!AB19,IF(AND('[1]LMP IN PPT'!$A19='[1]LMP IN MST'!$A17,'[1]LMP IN MST'!$Z17="DST",'[1]LMP IN MST'!$AA17="SF",'[1]LMP IN MST'!$AB17="MAR"),'[1]LMP IN PPT'!AB19,IF(AND('[1]LMP IN PPT'!$A19='[1]LMP IN MST'!$A17,'[1]LMP IN MST'!$Z17="DST",'[1]LMP IN MST'!$AA17="NORM",'[1]LMP IN MST'!$AB17="NOV"),'[1]LMP IN PPT'!AC19,IF(AND('[1]LMP IN PPT'!$A19='[1]LMP IN MST'!$A17,'[1]LMP IN MST'!$Z17="DST",'[1]LMP IN MST'!$AA17="NORM",OR('[1]LMP IN MST'!$AB17="MAR",'[1]LMP IN MST'!$AB17="")),'[1]LMP IN PPT'!AB19,0))))))</f>
        <v>38.027419999999999</v>
      </c>
    </row>
    <row r="18" spans="1:25" x14ac:dyDescent="0.3">
      <c r="A18" s="1">
        <f t="shared" si="0"/>
        <v>45368</v>
      </c>
      <c r="B18">
        <f>IF(AND('[1]LMP IN PPT'!$A20='[1]LMP IN MST'!$A18,'[1]LMP IN MST'!$Z18="ST",'[1]LMP IN MST'!$AA18="NORM",'[1]LMP IN MST'!$AB18="NOV"),'[1]LMP IN PPT'!AC19,IF(AND('[1]LMP IN PPT'!$A20='[1]LMP IN MST'!$A18,'[1]LMP IN MST'!$Z18="ST",'[1]LMP IN MST'!$AA18="NORM",'[1]LMP IN MST'!$AB18="MAR"),'[1]LMP IN PPT'!AB19,IF(AND('[1]LMP IN PPT'!$A20='[1]LMP IN MST'!$A18,'[1]LMP IN MST'!$Z18="ST",'[1]LMP IN MST'!$AA18="NORM",'[1]LMP IN MST'!$AB18=""),'[1]LMP IN PPT'!AB19,IF(AND('[1]LMP IN PPT'!$A20='[1]LMP IN MST'!$A18,'[1]LMP IN MST'!$Z18="DST",'[1]LMP IN MST'!$AA18="FB",'[1]LMP IN MST'!$AB18="NOV"),'[1]LMP IN PPT'!E20,IF(AND('[1]LMP IN PPT'!$A20='[1]LMP IN MST'!$A18,'[1]LMP IN MST'!$Z18="DST",'[1]LMP IN MST'!$AA18="SF",'[1]LMP IN MST'!$AB18="MAR"),'[1]LMP IN PPT'!AB19,IF(AND('[1]LMP IN PPT'!$A20='[1]LMP IN MST'!$A18,'[1]LMP IN MST'!$Z18="DST",'[1]LMP IN MST'!$AA18="NORM",OR('[1]LMP IN MST'!$AB18="MAR",'[1]LMP IN MST'!$AB18="",'[1]LMP IN MST'!$AB18="NOV")),'[1]LMP IN PPT'!E20,0))))))</f>
        <v>33.709879999999998</v>
      </c>
      <c r="C18">
        <f>IF(AND('[1]LMP IN PPT'!$A20='[1]LMP IN MST'!$A18,'[1]LMP IN MST'!$Z18="ST",'[1]LMP IN MST'!$AA18="NORM",OR('[1]LMP IN MST'!$AB18="NOV",'[1]LMP IN MST'!$AB18="MAR",'[1]LMP IN MST'!$AB18="")),'[1]LMP IN PPT'!E20,IF(AND('[1]LMP IN PPT'!$A20='[1]LMP IN MST'!$A18,'[1]LMP IN MST'!$Z18="DST",'[1]LMP IN MST'!$AA18="FB",'[1]LMP IN MST'!$AB18="NOV"),'[1]LMP IN PPT'!F20,IF(AND('[1]LMP IN PPT'!$A20='[1]LMP IN MST'!$A18,'[1]LMP IN MST'!$Z18="DST",'[1]LMP IN MST'!$AA18="SF",'[1]LMP IN MST'!$AB18="MAR"),'[1]LMP IN PPT'!E20,IF(AND('[1]LMP IN PPT'!$A20='[1]LMP IN MST'!$A18,'[1]LMP IN MST'!$Z18="DST",'[1]LMP IN MST'!$AA18="NORM",OR('[1]LMP IN MST'!$AB18="MAR",'[1]LMP IN MST'!$AB18="",'[1]LMP IN MST'!$AB18="NOV")),'[1]LMP IN PPT'!F20,0))))</f>
        <v>32.865690000000001</v>
      </c>
      <c r="D18">
        <f>IF(AND('[1]LMP IN PPT'!$A20='[1]LMP IN MST'!$A18,'[1]LMP IN MST'!$Z18="ST",'[1]LMP IN MST'!$AA18="NORM",OR('[1]LMP IN MST'!$AB18="NOV",'[1]LMP IN MST'!$AB18="MAR",'[1]LMP IN MST'!$AB18="")),'[1]LMP IN PPT'!F20,IF(AND('[1]LMP IN PPT'!$A20='[1]LMP IN MST'!$A18,'[1]LMP IN MST'!$Z18="DST",'[1]LMP IN MST'!$AA18="FB",'[1]LMP IN MST'!$AB18="NOV"),'[1]LMP IN PPT'!G20,IF(AND('[1]LMP IN PPT'!$A20='[1]LMP IN MST'!$A18,'[1]LMP IN MST'!$Z18="DST",'[1]LMP IN MST'!$AA18="SF",'[1]LMP IN MST'!$AB18="MAR"),'[1]LMP IN PPT'!F20,IF(AND('[1]LMP IN PPT'!$A20='[1]LMP IN MST'!$A18,'[1]LMP IN MST'!$Z18="DST",'[1]LMP IN MST'!$AA18="NORM",'[1]LMP IN MST'!$AB18="NOV"),'[1]LMP IN PPT'!H20,IF(AND('[1]LMP IN PPT'!$A20='[1]LMP IN MST'!$A18,'[1]LMP IN MST'!$Z18="DST",'[1]LMP IN MST'!$AA18="NORM",OR('[1]LMP IN MST'!$AB18="MAR",'[1]LMP IN MST'!$AB18="")),'[1]LMP IN PPT'!G20,0)))))</f>
        <v>32.871859999999998</v>
      </c>
      <c r="E18">
        <f>IF(AND('[1]LMP IN PPT'!$A20='[1]LMP IN MST'!$A18,'[1]LMP IN MST'!$Z18="ST",'[1]LMP IN MST'!$AA18="NORM",OR('[1]LMP IN MST'!$AB18="MAR",'[1]LMP IN MST'!$AB18="")),'[1]LMP IN PPT'!G20,IF(AND('[1]LMP IN PPT'!$A20='[1]LMP IN MST'!$A18,'[1]LMP IN MST'!$Z18="DST",'[1]LMP IN MST'!$AA18="FB",'[1]LMP IN MST'!$AB18="NOV"),'[1]LMP IN PPT'!H20,IF(AND('[1]LMP IN PPT'!$A20='[1]LMP IN MST'!$A18,'[1]LMP IN MST'!$Z18="ST",'[1]LMP IN MST'!$AA18="NORM",'[1]LMP IN MST'!$AB18="NOV"),'[1]LMP IN PPT'!H20,IF(AND('[1]LMP IN PPT'!$A20='[1]LMP IN MST'!$A18,'[1]LMP IN MST'!$Z18="DST",'[1]LMP IN MST'!$AA18="SF",'[1]LMP IN MST'!$AB18="MAR"),'[1]LMP IN PPT'!H20,IF(AND('[1]LMP IN PPT'!$A20='[1]LMP IN MST'!$A18,'[1]LMP IN MST'!$Z18="DST",'[1]LMP IN MST'!$AA18="NORM",'[1]LMP IN MST'!$AB18="NOV"),'[1]LMP IN PPT'!I20,IF(AND('[1]LMP IN PPT'!$A20='[1]LMP IN MST'!$A18,'[1]LMP IN MST'!$Z18="DST",'[1]LMP IN MST'!$AA18="NORM",OR('[1]LMP IN MST'!$AB18="MAR",'[1]LMP IN MST'!$AB18="")),'[1]LMP IN PPT'!H20,0))))))</f>
        <v>32.825270000000003</v>
      </c>
      <c r="F18">
        <f>IF(AND('[1]LMP IN PPT'!$A20='[1]LMP IN MST'!$A18,'[1]LMP IN MST'!$Z18="ST",'[1]LMP IN MST'!$AA18="NORM",OR('[1]LMP IN MST'!$AB18="MAR",'[1]LMP IN MST'!$AB18="")),'[1]LMP IN PPT'!H20,IF(AND('[1]LMP IN PPT'!$A20='[1]LMP IN MST'!$A18,'[1]LMP IN MST'!$Z18="DST",'[1]LMP IN MST'!$AA18="FB",'[1]LMP IN MST'!$AB18="NOV"),'[1]LMP IN PPT'!I20,IF(AND('[1]LMP IN PPT'!$A20='[1]LMP IN MST'!$A18,'[1]LMP IN MST'!$Z18="ST",'[1]LMP IN MST'!$AA18="NORM",'[1]LMP IN MST'!$AB18="NOV"),'[1]LMP IN PPT'!I20,IF(AND('[1]LMP IN PPT'!$A20='[1]LMP IN MST'!$A18,'[1]LMP IN MST'!$Z18="DST",'[1]LMP IN MST'!$AA18="SF",'[1]LMP IN MST'!$AB18="MAR"),'[1]LMP IN PPT'!I20,IF(AND('[1]LMP IN PPT'!$A20='[1]LMP IN MST'!$A18,'[1]LMP IN MST'!$Z18="DST",'[1]LMP IN MST'!$AA18="NORM",'[1]LMP IN MST'!$AB18="NOV"),'[1]LMP IN PPT'!J20,IF(AND('[1]LMP IN PPT'!$A20='[1]LMP IN MST'!$A18,'[1]LMP IN MST'!$Z18="DST",'[1]LMP IN MST'!$AA18="NORM",OR('[1]LMP IN MST'!$AB18="MAR",'[1]LMP IN MST'!$AB18="")),'[1]LMP IN PPT'!I20,0))))))</f>
        <v>32.76437</v>
      </c>
      <c r="G18">
        <f>IF(AND('[1]LMP IN PPT'!$A20='[1]LMP IN MST'!$A18,'[1]LMP IN MST'!$Z18="ST",'[1]LMP IN MST'!$AA18="NORM",OR('[1]LMP IN MST'!$AB18="MAR",'[1]LMP IN MST'!$AB18="")),'[1]LMP IN PPT'!I20,IF(AND('[1]LMP IN PPT'!$A20='[1]LMP IN MST'!$A18,'[1]LMP IN MST'!$Z18="DST",'[1]LMP IN MST'!$AA18="FB",'[1]LMP IN MST'!$AB18="NOV"),'[1]LMP IN PPT'!J20,IF(AND('[1]LMP IN PPT'!$A20='[1]LMP IN MST'!$A18,'[1]LMP IN MST'!$Z18="ST",'[1]LMP IN MST'!$AA18="NORM",'[1]LMP IN MST'!$AB18="NOV"),'[1]LMP IN PPT'!J20,IF(AND('[1]LMP IN PPT'!$A20='[1]LMP IN MST'!$A18,'[1]LMP IN MST'!$Z18="DST",'[1]LMP IN MST'!$AA18="SF",'[1]LMP IN MST'!$AB18="MAR"),'[1]LMP IN PPT'!J20,IF(AND('[1]LMP IN PPT'!$A20='[1]LMP IN MST'!$A18,'[1]LMP IN MST'!$Z18="DST",'[1]LMP IN MST'!$AA18="NORM",'[1]LMP IN MST'!$AB18="NOV"),'[1]LMP IN PPT'!K20,IF(AND('[1]LMP IN PPT'!$A20='[1]LMP IN MST'!$A18,'[1]LMP IN MST'!$Z18="DST",'[1]LMP IN MST'!$AA18="NORM",OR('[1]LMP IN MST'!$AB18="MAR",'[1]LMP IN MST'!$AB18="")),'[1]LMP IN PPT'!J20,0))))))</f>
        <v>33.694569999999999</v>
      </c>
      <c r="H18">
        <f>IF(AND('[1]LMP IN PPT'!$A20='[1]LMP IN MST'!$A18,'[1]LMP IN MST'!$Z18="ST",'[1]LMP IN MST'!$AA18="NORM",OR('[1]LMP IN MST'!$AB18="MAR",'[1]LMP IN MST'!$AB18="")),'[1]LMP IN PPT'!J20,IF(AND('[1]LMP IN PPT'!$A20='[1]LMP IN MST'!$A18,'[1]LMP IN MST'!$Z18="DST",'[1]LMP IN MST'!$AA18="FB",'[1]LMP IN MST'!$AB18="NOV"),'[1]LMP IN PPT'!K20,IF(AND('[1]LMP IN PPT'!$A20='[1]LMP IN MST'!$A18,'[1]LMP IN MST'!$Z18="ST",'[1]LMP IN MST'!$AA18="NORM",'[1]LMP IN MST'!$AB18="NOV"),'[1]LMP IN PPT'!K20,IF(AND('[1]LMP IN PPT'!$A20='[1]LMP IN MST'!$A18,'[1]LMP IN MST'!$Z18="DST",'[1]LMP IN MST'!$AA18="SF",'[1]LMP IN MST'!$AB18="MAR"),'[1]LMP IN PPT'!K20,IF(AND('[1]LMP IN PPT'!$A20='[1]LMP IN MST'!$A18,'[1]LMP IN MST'!$Z18="DST",'[1]LMP IN MST'!$AA18="NORM",'[1]LMP IN MST'!$AB18="NOV"),'[1]LMP IN PPT'!L20,IF(AND('[1]LMP IN PPT'!$A20='[1]LMP IN MST'!$A18,'[1]LMP IN MST'!$Z18="DST",'[1]LMP IN MST'!$AA18="NORM",OR('[1]LMP IN MST'!$AB18="MAR",'[1]LMP IN MST'!$AB18="")),'[1]LMP IN PPT'!K20,0))))))</f>
        <v>34.856769999999997</v>
      </c>
      <c r="I18">
        <f>IF(AND('[1]LMP IN PPT'!$A20='[1]LMP IN MST'!$A18,'[1]LMP IN MST'!$Z18="ST",'[1]LMP IN MST'!$AA18="NORM",OR('[1]LMP IN MST'!$AB18="MAR",'[1]LMP IN MST'!$AB18="")),'[1]LMP IN PPT'!K20,IF(AND('[1]LMP IN PPT'!$A20='[1]LMP IN MST'!$A18,'[1]LMP IN MST'!$Z18="DST",'[1]LMP IN MST'!$AA18="FB",'[1]LMP IN MST'!$AB18="NOV"),'[1]LMP IN PPT'!L20,IF(AND('[1]LMP IN PPT'!$A20='[1]LMP IN MST'!$A18,'[1]LMP IN MST'!$Z18="ST",'[1]LMP IN MST'!$AA18="NORM",'[1]LMP IN MST'!$AB18="NOV"),'[1]LMP IN PPT'!L20,IF(AND('[1]LMP IN PPT'!$A20='[1]LMP IN MST'!$A18,'[1]LMP IN MST'!$Z18="DST",'[1]LMP IN MST'!$AA18="SF",'[1]LMP IN MST'!$AB18="MAR"),'[1]LMP IN PPT'!L20,IF(AND('[1]LMP IN PPT'!$A20='[1]LMP IN MST'!$A18,'[1]LMP IN MST'!$Z18="DST",'[1]LMP IN MST'!$AA18="NORM",'[1]LMP IN MST'!$AB18="NOV"),'[1]LMP IN PPT'!M20,IF(AND('[1]LMP IN PPT'!$A20='[1]LMP IN MST'!$A18,'[1]LMP IN MST'!$Z18="DST",'[1]LMP IN MST'!$AA18="NORM",OR('[1]LMP IN MST'!$AB18="MAR",'[1]LMP IN MST'!$AB18="")),'[1]LMP IN PPT'!L20,0))))))</f>
        <v>31.91376</v>
      </c>
      <c r="J18">
        <f>IF(AND('[1]LMP IN PPT'!$A20='[1]LMP IN MST'!$A18,'[1]LMP IN MST'!$Z18="ST",'[1]LMP IN MST'!$AA18="NORM",OR('[1]LMP IN MST'!$AB18="MAR",'[1]LMP IN MST'!$AB18="")),'[1]LMP IN PPT'!L20,IF(AND('[1]LMP IN PPT'!$A20='[1]LMP IN MST'!$A18,'[1]LMP IN MST'!$Z18="DST",'[1]LMP IN MST'!$AA18="FB",'[1]LMP IN MST'!$AB18="NOV"),'[1]LMP IN PPT'!M20,IF(AND('[1]LMP IN PPT'!$A20='[1]LMP IN MST'!$A18,'[1]LMP IN MST'!$Z18="ST",'[1]LMP IN MST'!$AA18="NORM",'[1]LMP IN MST'!$AB18="NOV"),'[1]LMP IN PPT'!M20,IF(AND('[1]LMP IN PPT'!$A20='[1]LMP IN MST'!$A18,'[1]LMP IN MST'!$Z18="DST",'[1]LMP IN MST'!$AA18="SF",'[1]LMP IN MST'!$AB18="MAR"),'[1]LMP IN PPT'!M20,IF(AND('[1]LMP IN PPT'!$A20='[1]LMP IN MST'!$A18,'[1]LMP IN MST'!$Z18="DST",'[1]LMP IN MST'!$AA18="NORM",'[1]LMP IN MST'!$AB18="NOV"),'[1]LMP IN PPT'!N20,IF(AND('[1]LMP IN PPT'!$A20='[1]LMP IN MST'!$A18,'[1]LMP IN MST'!$Z18="DST",'[1]LMP IN MST'!$AA18="NORM",OR('[1]LMP IN MST'!$AB18="MAR",'[1]LMP IN MST'!$AB18="")),'[1]LMP IN PPT'!M20,0))))))</f>
        <v>8.0136800000000008</v>
      </c>
      <c r="K18">
        <f>IF(AND('[1]LMP IN PPT'!$A20='[1]LMP IN MST'!$A18,'[1]LMP IN MST'!$Z18="ST",'[1]LMP IN MST'!$AA18="NORM",OR('[1]LMP IN MST'!$AB18="MAR",'[1]LMP IN MST'!$AB18="")),'[1]LMP IN PPT'!M20,IF(AND('[1]LMP IN PPT'!$A20='[1]LMP IN MST'!$A18,'[1]LMP IN MST'!$Z18="DST",'[1]LMP IN MST'!$AA18="FB",'[1]LMP IN MST'!$AB18="NOV"),'[1]LMP IN PPT'!N20,IF(AND('[1]LMP IN PPT'!$A20='[1]LMP IN MST'!$A18,'[1]LMP IN MST'!$Z18="ST",'[1]LMP IN MST'!$AA18="NORM",'[1]LMP IN MST'!$AB18="NOV"),'[1]LMP IN PPT'!N20,IF(AND('[1]LMP IN PPT'!$A20='[1]LMP IN MST'!$A18,'[1]LMP IN MST'!$Z18="DST",'[1]LMP IN MST'!$AA18="SF",'[1]LMP IN MST'!$AB18="MAR"),'[1]LMP IN PPT'!N20,IF(AND('[1]LMP IN PPT'!$A20='[1]LMP IN MST'!$A18,'[1]LMP IN MST'!$Z18="DST",'[1]LMP IN MST'!$AA18="NORM",'[1]LMP IN MST'!$AB18="NOV"),'[1]LMP IN PPT'!O20,IF(AND('[1]LMP IN PPT'!$A20='[1]LMP IN MST'!$A18,'[1]LMP IN MST'!$Z18="DST",'[1]LMP IN MST'!$AA18="NORM",OR('[1]LMP IN MST'!$AB18="MAR",'[1]LMP IN MST'!$AB18="")),'[1]LMP IN PPT'!N20,0))))))</f>
        <v>-14.15776</v>
      </c>
      <c r="L18">
        <f>IF(AND('[1]LMP IN PPT'!$A20='[1]LMP IN MST'!$A18,'[1]LMP IN MST'!$Z18="ST",'[1]LMP IN MST'!$AA18="NORM",OR('[1]LMP IN MST'!$AB18="MAR",'[1]LMP IN MST'!$AB18="")),'[1]LMP IN PPT'!N20,IF(AND('[1]LMP IN PPT'!$A20='[1]LMP IN MST'!$A18,'[1]LMP IN MST'!$Z18="DST",'[1]LMP IN MST'!$AA18="FB",'[1]LMP IN MST'!$AB18="NOV"),'[1]LMP IN PPT'!O20,IF(AND('[1]LMP IN PPT'!$A20='[1]LMP IN MST'!$A18,'[1]LMP IN MST'!$Z18="ST",'[1]LMP IN MST'!$AA18="NORM",'[1]LMP IN MST'!$AB18="NOV"),'[1]LMP IN PPT'!O20,IF(AND('[1]LMP IN PPT'!$A20='[1]LMP IN MST'!$A18,'[1]LMP IN MST'!$Z18="DST",'[1]LMP IN MST'!$AA18="SF",'[1]LMP IN MST'!$AB18="MAR"),'[1]LMP IN PPT'!O20,IF(AND('[1]LMP IN PPT'!$A20='[1]LMP IN MST'!$A18,'[1]LMP IN MST'!$Z18="DST",'[1]LMP IN MST'!$AA18="NORM",'[1]LMP IN MST'!$AB18="NOV"),'[1]LMP IN PPT'!P20,IF(AND('[1]LMP IN PPT'!$A20='[1]LMP IN MST'!$A18,'[1]LMP IN MST'!$Z18="DST",'[1]LMP IN MST'!$AA18="NORM",OR('[1]LMP IN MST'!$AB18="MAR",'[1]LMP IN MST'!$AB18="")),'[1]LMP IN PPT'!O20,0))))))</f>
        <v>-32.864049999999999</v>
      </c>
      <c r="M18">
        <f>IF(AND('[1]LMP IN PPT'!$A20='[1]LMP IN MST'!$A18,'[1]LMP IN MST'!$Z18="ST",'[1]LMP IN MST'!$AA18="NORM",OR('[1]LMP IN MST'!$AB18="MAR",'[1]LMP IN MST'!$AB18="")),'[1]LMP IN PPT'!O20,IF(AND('[1]LMP IN PPT'!$A20='[1]LMP IN MST'!$A18,'[1]LMP IN MST'!$Z18="DST",'[1]LMP IN MST'!$AA18="FB",'[1]LMP IN MST'!$AB18="NOV"),'[1]LMP IN PPT'!P20,IF(AND('[1]LMP IN PPT'!$A20='[1]LMP IN MST'!$A18,'[1]LMP IN MST'!$Z18="ST",'[1]LMP IN MST'!$AA18="NORM",'[1]LMP IN MST'!$AB18="NOV"),'[1]LMP IN PPT'!P20,IF(AND('[1]LMP IN PPT'!$A20='[1]LMP IN MST'!$A18,'[1]LMP IN MST'!$Z18="DST",'[1]LMP IN MST'!$AA18="SF",'[1]LMP IN MST'!$AB18="MAR"),'[1]LMP IN PPT'!P20,IF(AND('[1]LMP IN PPT'!$A20='[1]LMP IN MST'!$A18,'[1]LMP IN MST'!$Z18="DST",'[1]LMP IN MST'!$AA18="NORM",'[1]LMP IN MST'!$AB18="NOV"),'[1]LMP IN PPT'!Q20,IF(AND('[1]LMP IN PPT'!$A20='[1]LMP IN MST'!$A18,'[1]LMP IN MST'!$Z18="DST",'[1]LMP IN MST'!$AA18="NORM",OR('[1]LMP IN MST'!$AB18="MAR",'[1]LMP IN MST'!$AB18="")),'[1]LMP IN PPT'!P20,0))))))</f>
        <v>-36.649059999999999</v>
      </c>
      <c r="N18">
        <f>IF(AND('[1]LMP IN PPT'!$A20='[1]LMP IN MST'!$A18,'[1]LMP IN MST'!$Z18="ST",'[1]LMP IN MST'!$AA18="NORM",OR('[1]LMP IN MST'!$AB18="MAR",'[1]LMP IN MST'!$AB18="")),'[1]LMP IN PPT'!P20,IF(AND('[1]LMP IN PPT'!$A20='[1]LMP IN MST'!$A18,'[1]LMP IN MST'!$Z18="DST",'[1]LMP IN MST'!$AA18="FB",'[1]LMP IN MST'!$AB18="NOV"),'[1]LMP IN PPT'!Q20,IF(AND('[1]LMP IN PPT'!$A20='[1]LMP IN MST'!$A18,'[1]LMP IN MST'!$Z18="ST",'[1]LMP IN MST'!$AA18="NORM",'[1]LMP IN MST'!$AB18="NOV"),'[1]LMP IN PPT'!Q20,IF(AND('[1]LMP IN PPT'!$A20='[1]LMP IN MST'!$A18,'[1]LMP IN MST'!$Z18="DST",'[1]LMP IN MST'!$AA18="SF",'[1]LMP IN MST'!$AB18="MAR"),'[1]LMP IN PPT'!Q20,IF(AND('[1]LMP IN PPT'!$A20='[1]LMP IN MST'!$A18,'[1]LMP IN MST'!$Z18="DST",'[1]LMP IN MST'!$AA18="NORM",'[1]LMP IN MST'!$AB18="NOV"),'[1]LMP IN PPT'!R20,IF(AND('[1]LMP IN PPT'!$A20='[1]LMP IN MST'!$A18,'[1]LMP IN MST'!$Z18="DST",'[1]LMP IN MST'!$AA18="NORM",OR('[1]LMP IN MST'!$AB18="MAR",'[1]LMP IN MST'!$AB18="")),'[1]LMP IN PPT'!Q20,0))))))</f>
        <v>-37.435130000000001</v>
      </c>
      <c r="O18">
        <f>IF(AND('[1]LMP IN PPT'!$A20='[1]LMP IN MST'!$A18,'[1]LMP IN MST'!$Z18="ST",'[1]LMP IN MST'!$AA18="NORM",OR('[1]LMP IN MST'!$AB18="MAR",'[1]LMP IN MST'!$AB18="")),'[1]LMP IN PPT'!Q20,IF(AND('[1]LMP IN PPT'!$A20='[1]LMP IN MST'!$A18,'[1]LMP IN MST'!$Z18="DST",'[1]LMP IN MST'!$AA18="FB",'[1]LMP IN MST'!$AB18="NOV"),'[1]LMP IN PPT'!R20,IF(AND('[1]LMP IN PPT'!$A20='[1]LMP IN MST'!$A18,'[1]LMP IN MST'!$Z18="ST",'[1]LMP IN MST'!$AA18="NORM",'[1]LMP IN MST'!$AB18="NOV"),'[1]LMP IN PPT'!R20,IF(AND('[1]LMP IN PPT'!$A20='[1]LMP IN MST'!$A18,'[1]LMP IN MST'!$Z18="DST",'[1]LMP IN MST'!$AA18="SF",'[1]LMP IN MST'!$AB18="MAR"),'[1]LMP IN PPT'!R20,IF(AND('[1]LMP IN PPT'!$A20='[1]LMP IN MST'!$A18,'[1]LMP IN MST'!$Z18="DST",'[1]LMP IN MST'!$AA18="NORM",'[1]LMP IN MST'!$AB18="NOV"),'[1]LMP IN PPT'!S20,IF(AND('[1]LMP IN PPT'!$A20='[1]LMP IN MST'!$A18,'[1]LMP IN MST'!$Z18="DST",'[1]LMP IN MST'!$AA18="NORM",OR('[1]LMP IN MST'!$AB18="MAR",'[1]LMP IN MST'!$AB18="")),'[1]LMP IN PPT'!R20,0))))))</f>
        <v>-37.583820000000003</v>
      </c>
      <c r="P18">
        <f>IF(AND('[1]LMP IN PPT'!$A20='[1]LMP IN MST'!$A18,'[1]LMP IN MST'!$Z18="ST",'[1]LMP IN MST'!$AA18="NORM",OR('[1]LMP IN MST'!$AB18="MAR",'[1]LMP IN MST'!$AB18="")),'[1]LMP IN PPT'!R20,IF(AND('[1]LMP IN PPT'!$A20='[1]LMP IN MST'!$A18,'[1]LMP IN MST'!$Z18="DST",'[1]LMP IN MST'!$AA18="FB",'[1]LMP IN MST'!$AB18="NOV"),'[1]LMP IN PPT'!S20,IF(AND('[1]LMP IN PPT'!$A20='[1]LMP IN MST'!$A18,'[1]LMP IN MST'!$Z18="ST",'[1]LMP IN MST'!$AA18="NORM",'[1]LMP IN MST'!$AB18="NOV"),'[1]LMP IN PPT'!S20,IF(AND('[1]LMP IN PPT'!$A20='[1]LMP IN MST'!$A18,'[1]LMP IN MST'!$Z18="DST",'[1]LMP IN MST'!$AA18="SF",'[1]LMP IN MST'!$AB18="MAR"),'[1]LMP IN PPT'!S20,IF(AND('[1]LMP IN PPT'!$A20='[1]LMP IN MST'!$A18,'[1]LMP IN MST'!$Z18="DST",'[1]LMP IN MST'!$AA18="NORM",'[1]LMP IN MST'!$AB18="NOV"),'[1]LMP IN PPT'!T20,IF(AND('[1]LMP IN PPT'!$A20='[1]LMP IN MST'!$A18,'[1]LMP IN MST'!$Z18="DST",'[1]LMP IN MST'!$AA18="NORM",OR('[1]LMP IN MST'!$AB18="MAR",'[1]LMP IN MST'!$AB18="")),'[1]LMP IN PPT'!S20,0))))))</f>
        <v>-37.464750000000002</v>
      </c>
      <c r="Q18">
        <f>IF(AND('[1]LMP IN PPT'!$A20='[1]LMP IN MST'!$A18,'[1]LMP IN MST'!$Z18="ST",'[1]LMP IN MST'!$AA18="NORM",OR('[1]LMP IN MST'!$AB18="MAR",'[1]LMP IN MST'!$AB18="")),'[1]LMP IN PPT'!S20,IF(AND('[1]LMP IN PPT'!$A20='[1]LMP IN MST'!$A18,'[1]LMP IN MST'!$Z18="DST",'[1]LMP IN MST'!$AA18="FB",'[1]LMP IN MST'!$AB18="NOV"),'[1]LMP IN PPT'!T20,IF(AND('[1]LMP IN PPT'!$A20='[1]LMP IN MST'!$A18,'[1]LMP IN MST'!$Z18="ST",'[1]LMP IN MST'!$AA18="NORM",'[1]LMP IN MST'!$AB18="NOV"),'[1]LMP IN PPT'!T20,IF(AND('[1]LMP IN PPT'!$A20='[1]LMP IN MST'!$A18,'[1]LMP IN MST'!$Z18="DST",'[1]LMP IN MST'!$AA18="SF",'[1]LMP IN MST'!$AB18="MAR"),'[1]LMP IN PPT'!T20,IF(AND('[1]LMP IN PPT'!$A20='[1]LMP IN MST'!$A18,'[1]LMP IN MST'!$Z18="DST",'[1]LMP IN MST'!$AA18="NORM",'[1]LMP IN MST'!$AB18="NOV"),'[1]LMP IN PPT'!U20,IF(AND('[1]LMP IN PPT'!$A20='[1]LMP IN MST'!$A18,'[1]LMP IN MST'!$Z18="DST",'[1]LMP IN MST'!$AA18="NORM",OR('[1]LMP IN MST'!$AB18="MAR",'[1]LMP IN MST'!$AB18="")),'[1]LMP IN PPT'!T20,0))))))</f>
        <v>-30.71321</v>
      </c>
      <c r="R18">
        <f>IF(AND('[1]LMP IN PPT'!$A20='[1]LMP IN MST'!$A18,'[1]LMP IN MST'!$Z18="ST",'[1]LMP IN MST'!$AA18="NORM",OR('[1]LMP IN MST'!$AB18="MAR",'[1]LMP IN MST'!$AB18="")),'[1]LMP IN PPT'!T20,IF(AND('[1]LMP IN PPT'!$A20='[1]LMP IN MST'!$A18,'[1]LMP IN MST'!$Z18="DST",'[1]LMP IN MST'!$AA18="FB",'[1]LMP IN MST'!$AB18="NOV"),'[1]LMP IN PPT'!U20,IF(AND('[1]LMP IN PPT'!$A20='[1]LMP IN MST'!$A18,'[1]LMP IN MST'!$Z18="ST",'[1]LMP IN MST'!$AA18="NORM",'[1]LMP IN MST'!$AB18="NOV"),'[1]LMP IN PPT'!U20,IF(AND('[1]LMP IN PPT'!$A20='[1]LMP IN MST'!$A18,'[1]LMP IN MST'!$Z18="DST",'[1]LMP IN MST'!$AA18="SF",'[1]LMP IN MST'!$AB18="MAR"),'[1]LMP IN PPT'!U20,IF(AND('[1]LMP IN PPT'!$A20='[1]LMP IN MST'!$A18,'[1]LMP IN MST'!$Z18="DST",'[1]LMP IN MST'!$AA18="NORM",'[1]LMP IN MST'!$AB18="NOV"),'[1]LMP IN PPT'!V20,IF(AND('[1]LMP IN PPT'!$A20='[1]LMP IN MST'!$A18,'[1]LMP IN MST'!$Z18="DST",'[1]LMP IN MST'!$AA18="NORM",OR('[1]LMP IN MST'!$AB18="MAR",'[1]LMP IN MST'!$AB18="")),'[1]LMP IN PPT'!U20,0))))))</f>
        <v>-11.288790000000001</v>
      </c>
      <c r="S18">
        <f>IF(AND('[1]LMP IN PPT'!$A20='[1]LMP IN MST'!$A18,'[1]LMP IN MST'!$Z18="ST",'[1]LMP IN MST'!$AA18="NORM",OR('[1]LMP IN MST'!$AB18="MAR",'[1]LMP IN MST'!$AB18="")),'[1]LMP IN PPT'!U20,IF(AND('[1]LMP IN PPT'!$A20='[1]LMP IN MST'!$A18,'[1]LMP IN MST'!$Z18="DST",'[1]LMP IN MST'!$AA18="FB",'[1]LMP IN MST'!$AB18="NOV"),'[1]LMP IN PPT'!V20,IF(AND('[1]LMP IN PPT'!$A20='[1]LMP IN MST'!$A18,'[1]LMP IN MST'!$Z18="ST",'[1]LMP IN MST'!$AA18="NORM",'[1]LMP IN MST'!$AB18="NOV"),'[1]LMP IN PPT'!V20,IF(AND('[1]LMP IN PPT'!$A20='[1]LMP IN MST'!$A18,'[1]LMP IN MST'!$Z18="DST",'[1]LMP IN MST'!$AA18="SF",'[1]LMP IN MST'!$AB18="MAR"),'[1]LMP IN PPT'!V20,IF(AND('[1]LMP IN PPT'!$A20='[1]LMP IN MST'!$A18,'[1]LMP IN MST'!$Z18="DST",'[1]LMP IN MST'!$AA18="NORM",'[1]LMP IN MST'!$AB18="NOV"),'[1]LMP IN PPT'!W20,IF(AND('[1]LMP IN PPT'!$A20='[1]LMP IN MST'!$A18,'[1]LMP IN MST'!$Z18="DST",'[1]LMP IN MST'!$AA18="NORM",OR('[1]LMP IN MST'!$AB18="MAR",'[1]LMP IN MST'!$AB18="")),'[1]LMP IN PPT'!V20,0))))))</f>
        <v>21.783539999999999</v>
      </c>
      <c r="T18">
        <f>IF(AND('[1]LMP IN PPT'!$A20='[1]LMP IN MST'!$A18,'[1]LMP IN MST'!$Z18="ST",'[1]LMP IN MST'!$AA18="NORM",OR('[1]LMP IN MST'!$AB18="MAR",'[1]LMP IN MST'!$AB18="")),'[1]LMP IN PPT'!V20,IF(AND('[1]LMP IN PPT'!$A20='[1]LMP IN MST'!$A18,'[1]LMP IN MST'!$Z18="DST",'[1]LMP IN MST'!$AA18="FB",'[1]LMP IN MST'!$AB18="NOV"),'[1]LMP IN PPT'!W20,IF(AND('[1]LMP IN PPT'!$A20='[1]LMP IN MST'!$A18,'[1]LMP IN MST'!$Z18="ST",'[1]LMP IN MST'!$AA18="NORM",'[1]LMP IN MST'!$AB18="NOV"),'[1]LMP IN PPT'!W20,IF(AND('[1]LMP IN PPT'!$A20='[1]LMP IN MST'!$A18,'[1]LMP IN MST'!$Z18="DST",'[1]LMP IN MST'!$AA18="SF",'[1]LMP IN MST'!$AB18="MAR"),'[1]LMP IN PPT'!W20,IF(AND('[1]LMP IN PPT'!$A20='[1]LMP IN MST'!$A18,'[1]LMP IN MST'!$Z18="DST",'[1]LMP IN MST'!$AA18="NORM",'[1]LMP IN MST'!$AB18="NOV"),'[1]LMP IN PPT'!X20,IF(AND('[1]LMP IN PPT'!$A20='[1]LMP IN MST'!$A18,'[1]LMP IN MST'!$Z18="DST",'[1]LMP IN MST'!$AA18="NORM",OR('[1]LMP IN MST'!$AB18="MAR",'[1]LMP IN MST'!$AB18="")),'[1]LMP IN PPT'!W20,0))))))</f>
        <v>41.69567</v>
      </c>
      <c r="U18">
        <f>IF(AND('[1]LMP IN PPT'!$A20='[1]LMP IN MST'!$A18,'[1]LMP IN MST'!$Z18="ST",'[1]LMP IN MST'!$AA18="NORM",OR('[1]LMP IN MST'!$AB18="MAR",'[1]LMP IN MST'!$AB18="")),'[1]LMP IN PPT'!W20,IF(AND('[1]LMP IN PPT'!$A20='[1]LMP IN MST'!$A18,'[1]LMP IN MST'!$Z18="DST",'[1]LMP IN MST'!$AA18="FB",'[1]LMP IN MST'!$AB18="NOV"),'[1]LMP IN PPT'!X20,IF(AND('[1]LMP IN PPT'!$A20='[1]LMP IN MST'!$A18,'[1]LMP IN MST'!$Z18="ST",'[1]LMP IN MST'!$AA18="NORM",'[1]LMP IN MST'!$AB18="NOV"),'[1]LMP IN PPT'!X20,IF(AND('[1]LMP IN PPT'!$A20='[1]LMP IN MST'!$A18,'[1]LMP IN MST'!$Z18="DST",'[1]LMP IN MST'!$AA18="SF",'[1]LMP IN MST'!$AB18="MAR"),'[1]LMP IN PPT'!X20,IF(AND('[1]LMP IN PPT'!$A20='[1]LMP IN MST'!$A18,'[1]LMP IN MST'!$Z18="DST",'[1]LMP IN MST'!$AA18="NORM",'[1]LMP IN MST'!$AB18="NOV"),'[1]LMP IN PPT'!Y20,IF(AND('[1]LMP IN PPT'!$A20='[1]LMP IN MST'!$A18,'[1]LMP IN MST'!$Z18="DST",'[1]LMP IN MST'!$AA18="NORM",OR('[1]LMP IN MST'!$AB18="MAR",'[1]LMP IN MST'!$AB18="")),'[1]LMP IN PPT'!X20,0))))))</f>
        <v>47.403680000000001</v>
      </c>
      <c r="V18">
        <f>IF(AND('[1]LMP IN PPT'!$A20='[1]LMP IN MST'!$A18,'[1]LMP IN MST'!$Z18="ST",'[1]LMP IN MST'!$AA18="NORM",OR('[1]LMP IN MST'!$AB18="MAR",'[1]LMP IN MST'!$AB18="")),'[1]LMP IN PPT'!X20,IF(AND('[1]LMP IN PPT'!$A20='[1]LMP IN MST'!$A18,'[1]LMP IN MST'!$Z18="DST",'[1]LMP IN MST'!$AA18="FB",'[1]LMP IN MST'!$AB18="NOV"),'[1]LMP IN PPT'!Y20,IF(AND('[1]LMP IN PPT'!$A20='[1]LMP IN MST'!$A18,'[1]LMP IN MST'!$Z18="ST",'[1]LMP IN MST'!$AA18="NORM",'[1]LMP IN MST'!$AB18="NOV"),'[1]LMP IN PPT'!Y20,IF(AND('[1]LMP IN PPT'!$A20='[1]LMP IN MST'!$A18,'[1]LMP IN MST'!$Z18="DST",'[1]LMP IN MST'!$AA18="SF",'[1]LMP IN MST'!$AB18="MAR"),'[1]LMP IN PPT'!Y20,IF(AND('[1]LMP IN PPT'!$A20='[1]LMP IN MST'!$A18,'[1]LMP IN MST'!$Z18="DST",'[1]LMP IN MST'!$AA18="NORM",'[1]LMP IN MST'!$AB18="NOV"),'[1]LMP IN PPT'!Z20,IF(AND('[1]LMP IN PPT'!$A20='[1]LMP IN MST'!$A18,'[1]LMP IN MST'!$Z18="DST",'[1]LMP IN MST'!$AA18="NORM",OR('[1]LMP IN MST'!$AB18="MAR",'[1]LMP IN MST'!$AB18="")),'[1]LMP IN PPT'!Y20,0))))))</f>
        <v>46.324950000000001</v>
      </c>
      <c r="W18">
        <f>IF(AND('[1]LMP IN PPT'!$A20='[1]LMP IN MST'!$A18,'[1]LMP IN MST'!$Z18="ST",'[1]LMP IN MST'!$AA18="NORM",OR('[1]LMP IN MST'!$AB18="MAR",'[1]LMP IN MST'!$AB18="")),'[1]LMP IN PPT'!Y20,IF(AND('[1]LMP IN PPT'!$A20='[1]LMP IN MST'!$A18,'[1]LMP IN MST'!$Z18="DST",'[1]LMP IN MST'!$AA18="FB",'[1]LMP IN MST'!$AB18="NOV"),'[1]LMP IN PPT'!Z20,IF(AND('[1]LMP IN PPT'!$A20='[1]LMP IN MST'!$A18,'[1]LMP IN MST'!$Z18="ST",'[1]LMP IN MST'!$AA18="NORM",'[1]LMP IN MST'!$AB18="NOV"),'[1]LMP IN PPT'!Z20,IF(AND('[1]LMP IN PPT'!$A20='[1]LMP IN MST'!$A18,'[1]LMP IN MST'!$Z18="DST",'[1]LMP IN MST'!$AA18="SF",'[1]LMP IN MST'!$AB18="MAR"),'[1]LMP IN PPT'!Z20,IF(AND('[1]LMP IN PPT'!$A20='[1]LMP IN MST'!$A18,'[1]LMP IN MST'!$Z18="DST",'[1]LMP IN MST'!$AA18="NORM",'[1]LMP IN MST'!$AB18="NOV"),'[1]LMP IN PPT'!AA20,IF(AND('[1]LMP IN PPT'!$A20='[1]LMP IN MST'!$A18,'[1]LMP IN MST'!$Z18="DST",'[1]LMP IN MST'!$AA18="NORM",OR('[1]LMP IN MST'!$AB18="MAR",'[1]LMP IN MST'!$AB18="")),'[1]LMP IN PPT'!Z20,0))))))</f>
        <v>46.978270000000002</v>
      </c>
      <c r="X18">
        <f>IF(AND('[1]LMP IN PPT'!$A20='[1]LMP IN MST'!$A18,'[1]LMP IN MST'!$Z18="ST",'[1]LMP IN MST'!$AA18="NORM",OR('[1]LMP IN MST'!$AB18="MAR",'[1]LMP IN MST'!$AB18="")),'[1]LMP IN PPT'!Z20,IF(AND('[1]LMP IN PPT'!$A20='[1]LMP IN MST'!$A18,'[1]LMP IN MST'!$Z18="DST",'[1]LMP IN MST'!$AA18="FB",'[1]LMP IN MST'!$AB18="NOV"),'[1]LMP IN PPT'!AA20,IF(AND('[1]LMP IN PPT'!$A20='[1]LMP IN MST'!$A18,'[1]LMP IN MST'!$Z18="ST",'[1]LMP IN MST'!$AA18="NORM",'[1]LMP IN MST'!$AB18="NOV"),'[1]LMP IN PPT'!AA20,IF(AND('[1]LMP IN PPT'!$A20='[1]LMP IN MST'!$A18,'[1]LMP IN MST'!$Z18="DST",'[1]LMP IN MST'!$AA18="SF",'[1]LMP IN MST'!$AB18="MAR"),'[1]LMP IN PPT'!AA20,IF(AND('[1]LMP IN PPT'!$A20='[1]LMP IN MST'!$A18,'[1]LMP IN MST'!$Z18="DST",'[1]LMP IN MST'!$AA18="NORM",'[1]LMP IN MST'!$AB18="NOV"),'[1]LMP IN PPT'!AB20,IF(AND('[1]LMP IN PPT'!$A20='[1]LMP IN MST'!$A18,'[1]LMP IN MST'!$Z18="DST",'[1]LMP IN MST'!$AA18="NORM",OR('[1]LMP IN MST'!$AB18="MAR",'[1]LMP IN MST'!$AB18="")),'[1]LMP IN PPT'!AA20,0))))))</f>
        <v>42.286920000000002</v>
      </c>
      <c r="Y18">
        <f>IF(AND('[1]LMP IN PPT'!$A20='[1]LMP IN MST'!$A18,'[1]LMP IN MST'!$Z18="ST",'[1]LMP IN MST'!$AA18="NORM",OR('[1]LMP IN MST'!$AB18="MAR",'[1]LMP IN MST'!$AB18="")),'[1]LMP IN PPT'!AA20,IF(AND('[1]LMP IN PPT'!$A20='[1]LMP IN MST'!$A18,'[1]LMP IN MST'!$Z18="DST",'[1]LMP IN MST'!$AA18="FB",'[1]LMP IN MST'!$AB18="NOV"),'[1]LMP IN PPT'!AB20,IF(AND('[1]LMP IN PPT'!$A20='[1]LMP IN MST'!$A18,'[1]LMP IN MST'!$Z18="ST",'[1]LMP IN MST'!$AA18="NORM",'[1]LMP IN MST'!$AB18="NOV"),'[1]LMP IN PPT'!AB20,IF(AND('[1]LMP IN PPT'!$A20='[1]LMP IN MST'!$A18,'[1]LMP IN MST'!$Z18="DST",'[1]LMP IN MST'!$AA18="SF",'[1]LMP IN MST'!$AB18="MAR"),'[1]LMP IN PPT'!AB20,IF(AND('[1]LMP IN PPT'!$A20='[1]LMP IN MST'!$A18,'[1]LMP IN MST'!$Z18="DST",'[1]LMP IN MST'!$AA18="NORM",'[1]LMP IN MST'!$AB18="NOV"),'[1]LMP IN PPT'!AC20,IF(AND('[1]LMP IN PPT'!$A20='[1]LMP IN MST'!$A18,'[1]LMP IN MST'!$Z18="DST",'[1]LMP IN MST'!$AA18="NORM",OR('[1]LMP IN MST'!$AB18="MAR",'[1]LMP IN MST'!$AB18="")),'[1]LMP IN PPT'!AB20,0))))))</f>
        <v>41.695430000000002</v>
      </c>
    </row>
    <row r="19" spans="1:25" x14ac:dyDescent="0.3">
      <c r="A19" s="1">
        <f t="shared" si="0"/>
        <v>45369</v>
      </c>
      <c r="B19">
        <f>IF(AND('[1]LMP IN PPT'!$A21='[1]LMP IN MST'!$A19,'[1]LMP IN MST'!$Z19="ST",'[1]LMP IN MST'!$AA19="NORM",'[1]LMP IN MST'!$AB19="NOV"),'[1]LMP IN PPT'!AC20,IF(AND('[1]LMP IN PPT'!$A21='[1]LMP IN MST'!$A19,'[1]LMP IN MST'!$Z19="ST",'[1]LMP IN MST'!$AA19="NORM",'[1]LMP IN MST'!$AB19="MAR"),'[1]LMP IN PPT'!AB20,IF(AND('[1]LMP IN PPT'!$A21='[1]LMP IN MST'!$A19,'[1]LMP IN MST'!$Z19="ST",'[1]LMP IN MST'!$AA19="NORM",'[1]LMP IN MST'!$AB19=""),'[1]LMP IN PPT'!AB20,IF(AND('[1]LMP IN PPT'!$A21='[1]LMP IN MST'!$A19,'[1]LMP IN MST'!$Z19="DST",'[1]LMP IN MST'!$AA19="FB",'[1]LMP IN MST'!$AB19="NOV"),'[1]LMP IN PPT'!E21,IF(AND('[1]LMP IN PPT'!$A21='[1]LMP IN MST'!$A19,'[1]LMP IN MST'!$Z19="DST",'[1]LMP IN MST'!$AA19="SF",'[1]LMP IN MST'!$AB19="MAR"),'[1]LMP IN PPT'!AB20,IF(AND('[1]LMP IN PPT'!$A21='[1]LMP IN MST'!$A19,'[1]LMP IN MST'!$Z19="DST",'[1]LMP IN MST'!$AA19="NORM",OR('[1]LMP IN MST'!$AB19="MAR",'[1]LMP IN MST'!$AB19="",'[1]LMP IN MST'!$AB19="NOV")),'[1]LMP IN PPT'!E21,0))))))</f>
        <v>39.767890000000001</v>
      </c>
      <c r="C19">
        <f>IF(AND('[1]LMP IN PPT'!$A21='[1]LMP IN MST'!$A19,'[1]LMP IN MST'!$Z19="ST",'[1]LMP IN MST'!$AA19="NORM",OR('[1]LMP IN MST'!$AB19="NOV",'[1]LMP IN MST'!$AB19="MAR",'[1]LMP IN MST'!$AB19="")),'[1]LMP IN PPT'!E21,IF(AND('[1]LMP IN PPT'!$A21='[1]LMP IN MST'!$A19,'[1]LMP IN MST'!$Z19="DST",'[1]LMP IN MST'!$AA19="FB",'[1]LMP IN MST'!$AB19="NOV"),'[1]LMP IN PPT'!F21,IF(AND('[1]LMP IN PPT'!$A21='[1]LMP IN MST'!$A19,'[1]LMP IN MST'!$Z19="DST",'[1]LMP IN MST'!$AA19="SF",'[1]LMP IN MST'!$AB19="MAR"),'[1]LMP IN PPT'!E21,IF(AND('[1]LMP IN PPT'!$A21='[1]LMP IN MST'!$A19,'[1]LMP IN MST'!$Z19="DST",'[1]LMP IN MST'!$AA19="NORM",OR('[1]LMP IN MST'!$AB19="MAR",'[1]LMP IN MST'!$AB19="",'[1]LMP IN MST'!$AB19="NOV")),'[1]LMP IN PPT'!F21,0))))</f>
        <v>37.717350000000003</v>
      </c>
      <c r="D19">
        <f>IF(AND('[1]LMP IN PPT'!$A21='[1]LMP IN MST'!$A19,'[1]LMP IN MST'!$Z19="ST",'[1]LMP IN MST'!$AA19="NORM",OR('[1]LMP IN MST'!$AB19="NOV",'[1]LMP IN MST'!$AB19="MAR",'[1]LMP IN MST'!$AB19="")),'[1]LMP IN PPT'!F21,IF(AND('[1]LMP IN PPT'!$A21='[1]LMP IN MST'!$A19,'[1]LMP IN MST'!$Z19="DST",'[1]LMP IN MST'!$AA19="FB",'[1]LMP IN MST'!$AB19="NOV"),'[1]LMP IN PPT'!G21,IF(AND('[1]LMP IN PPT'!$A21='[1]LMP IN MST'!$A19,'[1]LMP IN MST'!$Z19="DST",'[1]LMP IN MST'!$AA19="SF",'[1]LMP IN MST'!$AB19="MAR"),'[1]LMP IN PPT'!F21,IF(AND('[1]LMP IN PPT'!$A21='[1]LMP IN MST'!$A19,'[1]LMP IN MST'!$Z19="DST",'[1]LMP IN MST'!$AA19="NORM",'[1]LMP IN MST'!$AB19="NOV"),'[1]LMP IN PPT'!H21,IF(AND('[1]LMP IN PPT'!$A21='[1]LMP IN MST'!$A19,'[1]LMP IN MST'!$Z19="DST",'[1]LMP IN MST'!$AA19="NORM",OR('[1]LMP IN MST'!$AB19="MAR",'[1]LMP IN MST'!$AB19="")),'[1]LMP IN PPT'!G21,0)))))</f>
        <v>37.876449999999998</v>
      </c>
      <c r="E19">
        <f>IF(AND('[1]LMP IN PPT'!$A21='[1]LMP IN MST'!$A19,'[1]LMP IN MST'!$Z19="ST",'[1]LMP IN MST'!$AA19="NORM",OR('[1]LMP IN MST'!$AB19="MAR",'[1]LMP IN MST'!$AB19="")),'[1]LMP IN PPT'!G21,IF(AND('[1]LMP IN PPT'!$A21='[1]LMP IN MST'!$A19,'[1]LMP IN MST'!$Z19="DST",'[1]LMP IN MST'!$AA19="FB",'[1]LMP IN MST'!$AB19="NOV"),'[1]LMP IN PPT'!H21,IF(AND('[1]LMP IN PPT'!$A21='[1]LMP IN MST'!$A19,'[1]LMP IN MST'!$Z19="ST",'[1]LMP IN MST'!$AA19="NORM",'[1]LMP IN MST'!$AB19="NOV"),'[1]LMP IN PPT'!H21,IF(AND('[1]LMP IN PPT'!$A21='[1]LMP IN MST'!$A19,'[1]LMP IN MST'!$Z19="DST",'[1]LMP IN MST'!$AA19="SF",'[1]LMP IN MST'!$AB19="MAR"),'[1]LMP IN PPT'!H21,IF(AND('[1]LMP IN PPT'!$A21='[1]LMP IN MST'!$A19,'[1]LMP IN MST'!$Z19="DST",'[1]LMP IN MST'!$AA19="NORM",'[1]LMP IN MST'!$AB19="NOV"),'[1]LMP IN PPT'!I21,IF(AND('[1]LMP IN PPT'!$A21='[1]LMP IN MST'!$A19,'[1]LMP IN MST'!$Z19="DST",'[1]LMP IN MST'!$AA19="NORM",OR('[1]LMP IN MST'!$AB19="MAR",'[1]LMP IN MST'!$AB19="")),'[1]LMP IN PPT'!H21,0))))))</f>
        <v>37.369549999999997</v>
      </c>
      <c r="F19">
        <f>IF(AND('[1]LMP IN PPT'!$A21='[1]LMP IN MST'!$A19,'[1]LMP IN MST'!$Z19="ST",'[1]LMP IN MST'!$AA19="NORM",OR('[1]LMP IN MST'!$AB19="MAR",'[1]LMP IN MST'!$AB19="")),'[1]LMP IN PPT'!H21,IF(AND('[1]LMP IN PPT'!$A21='[1]LMP IN MST'!$A19,'[1]LMP IN MST'!$Z19="DST",'[1]LMP IN MST'!$AA19="FB",'[1]LMP IN MST'!$AB19="NOV"),'[1]LMP IN PPT'!I21,IF(AND('[1]LMP IN PPT'!$A21='[1]LMP IN MST'!$A19,'[1]LMP IN MST'!$Z19="ST",'[1]LMP IN MST'!$AA19="NORM",'[1]LMP IN MST'!$AB19="NOV"),'[1]LMP IN PPT'!I21,IF(AND('[1]LMP IN PPT'!$A21='[1]LMP IN MST'!$A19,'[1]LMP IN MST'!$Z19="DST",'[1]LMP IN MST'!$AA19="SF",'[1]LMP IN MST'!$AB19="MAR"),'[1]LMP IN PPT'!I21,IF(AND('[1]LMP IN PPT'!$A21='[1]LMP IN MST'!$A19,'[1]LMP IN MST'!$Z19="DST",'[1]LMP IN MST'!$AA19="NORM",'[1]LMP IN MST'!$AB19="NOV"),'[1]LMP IN PPT'!J21,IF(AND('[1]LMP IN PPT'!$A21='[1]LMP IN MST'!$A19,'[1]LMP IN MST'!$Z19="DST",'[1]LMP IN MST'!$AA19="NORM",OR('[1]LMP IN MST'!$AB19="MAR",'[1]LMP IN MST'!$AB19="")),'[1]LMP IN PPT'!I21,0))))))</f>
        <v>42.492629999999998</v>
      </c>
      <c r="G19">
        <f>IF(AND('[1]LMP IN PPT'!$A21='[1]LMP IN MST'!$A19,'[1]LMP IN MST'!$Z19="ST",'[1]LMP IN MST'!$AA19="NORM",OR('[1]LMP IN MST'!$AB19="MAR",'[1]LMP IN MST'!$AB19="")),'[1]LMP IN PPT'!I21,IF(AND('[1]LMP IN PPT'!$A21='[1]LMP IN MST'!$A19,'[1]LMP IN MST'!$Z19="DST",'[1]LMP IN MST'!$AA19="FB",'[1]LMP IN MST'!$AB19="NOV"),'[1]LMP IN PPT'!J21,IF(AND('[1]LMP IN PPT'!$A21='[1]LMP IN MST'!$A19,'[1]LMP IN MST'!$Z19="ST",'[1]LMP IN MST'!$AA19="NORM",'[1]LMP IN MST'!$AB19="NOV"),'[1]LMP IN PPT'!J21,IF(AND('[1]LMP IN PPT'!$A21='[1]LMP IN MST'!$A19,'[1]LMP IN MST'!$Z19="DST",'[1]LMP IN MST'!$AA19="SF",'[1]LMP IN MST'!$AB19="MAR"),'[1]LMP IN PPT'!J21,IF(AND('[1]LMP IN PPT'!$A21='[1]LMP IN MST'!$A19,'[1]LMP IN MST'!$Z19="DST",'[1]LMP IN MST'!$AA19="NORM",'[1]LMP IN MST'!$AB19="NOV"),'[1]LMP IN PPT'!K21,IF(AND('[1]LMP IN PPT'!$A21='[1]LMP IN MST'!$A19,'[1]LMP IN MST'!$Z19="DST",'[1]LMP IN MST'!$AA19="NORM",OR('[1]LMP IN MST'!$AB19="MAR",'[1]LMP IN MST'!$AB19="")),'[1]LMP IN PPT'!J21,0))))))</f>
        <v>48.342399999999998</v>
      </c>
      <c r="H19">
        <f>IF(AND('[1]LMP IN PPT'!$A21='[1]LMP IN MST'!$A19,'[1]LMP IN MST'!$Z19="ST",'[1]LMP IN MST'!$AA19="NORM",OR('[1]LMP IN MST'!$AB19="MAR",'[1]LMP IN MST'!$AB19="")),'[1]LMP IN PPT'!J21,IF(AND('[1]LMP IN PPT'!$A21='[1]LMP IN MST'!$A19,'[1]LMP IN MST'!$Z19="DST",'[1]LMP IN MST'!$AA19="FB",'[1]LMP IN MST'!$AB19="NOV"),'[1]LMP IN PPT'!K21,IF(AND('[1]LMP IN PPT'!$A21='[1]LMP IN MST'!$A19,'[1]LMP IN MST'!$Z19="ST",'[1]LMP IN MST'!$AA19="NORM",'[1]LMP IN MST'!$AB19="NOV"),'[1]LMP IN PPT'!K21,IF(AND('[1]LMP IN PPT'!$A21='[1]LMP IN MST'!$A19,'[1]LMP IN MST'!$Z19="DST",'[1]LMP IN MST'!$AA19="SF",'[1]LMP IN MST'!$AB19="MAR"),'[1]LMP IN PPT'!K21,IF(AND('[1]LMP IN PPT'!$A21='[1]LMP IN MST'!$A19,'[1]LMP IN MST'!$Z19="DST",'[1]LMP IN MST'!$AA19="NORM",'[1]LMP IN MST'!$AB19="NOV"),'[1]LMP IN PPT'!L21,IF(AND('[1]LMP IN PPT'!$A21='[1]LMP IN MST'!$A19,'[1]LMP IN MST'!$Z19="DST",'[1]LMP IN MST'!$AA19="NORM",OR('[1]LMP IN MST'!$AB19="MAR",'[1]LMP IN MST'!$AB19="")),'[1]LMP IN PPT'!K21,0))))))</f>
        <v>54.962440000000001</v>
      </c>
      <c r="I19">
        <f>IF(AND('[1]LMP IN PPT'!$A21='[1]LMP IN MST'!$A19,'[1]LMP IN MST'!$Z19="ST",'[1]LMP IN MST'!$AA19="NORM",OR('[1]LMP IN MST'!$AB19="MAR",'[1]LMP IN MST'!$AB19="")),'[1]LMP IN PPT'!K21,IF(AND('[1]LMP IN PPT'!$A21='[1]LMP IN MST'!$A19,'[1]LMP IN MST'!$Z19="DST",'[1]LMP IN MST'!$AA19="FB",'[1]LMP IN MST'!$AB19="NOV"),'[1]LMP IN PPT'!L21,IF(AND('[1]LMP IN PPT'!$A21='[1]LMP IN MST'!$A19,'[1]LMP IN MST'!$Z19="ST",'[1]LMP IN MST'!$AA19="NORM",'[1]LMP IN MST'!$AB19="NOV"),'[1]LMP IN PPT'!L21,IF(AND('[1]LMP IN PPT'!$A21='[1]LMP IN MST'!$A19,'[1]LMP IN MST'!$Z19="DST",'[1]LMP IN MST'!$AA19="SF",'[1]LMP IN MST'!$AB19="MAR"),'[1]LMP IN PPT'!L21,IF(AND('[1]LMP IN PPT'!$A21='[1]LMP IN MST'!$A19,'[1]LMP IN MST'!$Z19="DST",'[1]LMP IN MST'!$AA19="NORM",'[1]LMP IN MST'!$AB19="NOV"),'[1]LMP IN PPT'!M21,IF(AND('[1]LMP IN PPT'!$A21='[1]LMP IN MST'!$A19,'[1]LMP IN MST'!$Z19="DST",'[1]LMP IN MST'!$AA19="NORM",OR('[1]LMP IN MST'!$AB19="MAR",'[1]LMP IN MST'!$AB19="")),'[1]LMP IN PPT'!L21,0))))))</f>
        <v>53.14217</v>
      </c>
      <c r="J19">
        <f>IF(AND('[1]LMP IN PPT'!$A21='[1]LMP IN MST'!$A19,'[1]LMP IN MST'!$Z19="ST",'[1]LMP IN MST'!$AA19="NORM",OR('[1]LMP IN MST'!$AB19="MAR",'[1]LMP IN MST'!$AB19="")),'[1]LMP IN PPT'!L21,IF(AND('[1]LMP IN PPT'!$A21='[1]LMP IN MST'!$A19,'[1]LMP IN MST'!$Z19="DST",'[1]LMP IN MST'!$AA19="FB",'[1]LMP IN MST'!$AB19="NOV"),'[1]LMP IN PPT'!M21,IF(AND('[1]LMP IN PPT'!$A21='[1]LMP IN MST'!$A19,'[1]LMP IN MST'!$Z19="ST",'[1]LMP IN MST'!$AA19="NORM",'[1]LMP IN MST'!$AB19="NOV"),'[1]LMP IN PPT'!M21,IF(AND('[1]LMP IN PPT'!$A21='[1]LMP IN MST'!$A19,'[1]LMP IN MST'!$Z19="DST",'[1]LMP IN MST'!$AA19="SF",'[1]LMP IN MST'!$AB19="MAR"),'[1]LMP IN PPT'!M21,IF(AND('[1]LMP IN PPT'!$A21='[1]LMP IN MST'!$A19,'[1]LMP IN MST'!$Z19="DST",'[1]LMP IN MST'!$AA19="NORM",'[1]LMP IN MST'!$AB19="NOV"),'[1]LMP IN PPT'!N21,IF(AND('[1]LMP IN PPT'!$A21='[1]LMP IN MST'!$A19,'[1]LMP IN MST'!$Z19="DST",'[1]LMP IN MST'!$AA19="NORM",OR('[1]LMP IN MST'!$AB19="MAR",'[1]LMP IN MST'!$AB19="")),'[1]LMP IN PPT'!M21,0))))))</f>
        <v>33.632330000000003</v>
      </c>
      <c r="K19">
        <f>IF(AND('[1]LMP IN PPT'!$A21='[1]LMP IN MST'!$A19,'[1]LMP IN MST'!$Z19="ST",'[1]LMP IN MST'!$AA19="NORM",OR('[1]LMP IN MST'!$AB19="MAR",'[1]LMP IN MST'!$AB19="")),'[1]LMP IN PPT'!M21,IF(AND('[1]LMP IN PPT'!$A21='[1]LMP IN MST'!$A19,'[1]LMP IN MST'!$Z19="DST",'[1]LMP IN MST'!$AA19="FB",'[1]LMP IN MST'!$AB19="NOV"),'[1]LMP IN PPT'!N21,IF(AND('[1]LMP IN PPT'!$A21='[1]LMP IN MST'!$A19,'[1]LMP IN MST'!$Z19="ST",'[1]LMP IN MST'!$AA19="NORM",'[1]LMP IN MST'!$AB19="NOV"),'[1]LMP IN PPT'!N21,IF(AND('[1]LMP IN PPT'!$A21='[1]LMP IN MST'!$A19,'[1]LMP IN MST'!$Z19="DST",'[1]LMP IN MST'!$AA19="SF",'[1]LMP IN MST'!$AB19="MAR"),'[1]LMP IN PPT'!N21,IF(AND('[1]LMP IN PPT'!$A21='[1]LMP IN MST'!$A19,'[1]LMP IN MST'!$Z19="DST",'[1]LMP IN MST'!$AA19="NORM",'[1]LMP IN MST'!$AB19="NOV"),'[1]LMP IN PPT'!O21,IF(AND('[1]LMP IN PPT'!$A21='[1]LMP IN MST'!$A19,'[1]LMP IN MST'!$Z19="DST",'[1]LMP IN MST'!$AA19="NORM",OR('[1]LMP IN MST'!$AB19="MAR",'[1]LMP IN MST'!$AB19="")),'[1]LMP IN PPT'!N21,0))))))</f>
        <v>3.0216099999999999</v>
      </c>
      <c r="L19">
        <f>IF(AND('[1]LMP IN PPT'!$A21='[1]LMP IN MST'!$A19,'[1]LMP IN MST'!$Z19="ST",'[1]LMP IN MST'!$AA19="NORM",OR('[1]LMP IN MST'!$AB19="MAR",'[1]LMP IN MST'!$AB19="")),'[1]LMP IN PPT'!N21,IF(AND('[1]LMP IN PPT'!$A21='[1]LMP IN MST'!$A19,'[1]LMP IN MST'!$Z19="DST",'[1]LMP IN MST'!$AA19="FB",'[1]LMP IN MST'!$AB19="NOV"),'[1]LMP IN PPT'!O21,IF(AND('[1]LMP IN PPT'!$A21='[1]LMP IN MST'!$A19,'[1]LMP IN MST'!$Z19="ST",'[1]LMP IN MST'!$AA19="NORM",'[1]LMP IN MST'!$AB19="NOV"),'[1]LMP IN PPT'!O21,IF(AND('[1]LMP IN PPT'!$A21='[1]LMP IN MST'!$A19,'[1]LMP IN MST'!$Z19="DST",'[1]LMP IN MST'!$AA19="SF",'[1]LMP IN MST'!$AB19="MAR"),'[1]LMP IN PPT'!O21,IF(AND('[1]LMP IN PPT'!$A21='[1]LMP IN MST'!$A19,'[1]LMP IN MST'!$Z19="DST",'[1]LMP IN MST'!$AA19="NORM",'[1]LMP IN MST'!$AB19="NOV"),'[1]LMP IN PPT'!P21,IF(AND('[1]LMP IN PPT'!$A21='[1]LMP IN MST'!$A19,'[1]LMP IN MST'!$Z19="DST",'[1]LMP IN MST'!$AA19="NORM",OR('[1]LMP IN MST'!$AB19="MAR",'[1]LMP IN MST'!$AB19="")),'[1]LMP IN PPT'!O21,0))))))</f>
        <v>-0.97711000000000003</v>
      </c>
      <c r="M19">
        <f>IF(AND('[1]LMP IN PPT'!$A21='[1]LMP IN MST'!$A19,'[1]LMP IN MST'!$Z19="ST",'[1]LMP IN MST'!$AA19="NORM",OR('[1]LMP IN MST'!$AB19="MAR",'[1]LMP IN MST'!$AB19="")),'[1]LMP IN PPT'!O21,IF(AND('[1]LMP IN PPT'!$A21='[1]LMP IN MST'!$A19,'[1]LMP IN MST'!$Z19="DST",'[1]LMP IN MST'!$AA19="FB",'[1]LMP IN MST'!$AB19="NOV"),'[1]LMP IN PPT'!P21,IF(AND('[1]LMP IN PPT'!$A21='[1]LMP IN MST'!$A19,'[1]LMP IN MST'!$Z19="ST",'[1]LMP IN MST'!$AA19="NORM",'[1]LMP IN MST'!$AB19="NOV"),'[1]LMP IN PPT'!P21,IF(AND('[1]LMP IN PPT'!$A21='[1]LMP IN MST'!$A19,'[1]LMP IN MST'!$Z19="DST",'[1]LMP IN MST'!$AA19="SF",'[1]LMP IN MST'!$AB19="MAR"),'[1]LMP IN PPT'!P21,IF(AND('[1]LMP IN PPT'!$A21='[1]LMP IN MST'!$A19,'[1]LMP IN MST'!$Z19="DST",'[1]LMP IN MST'!$AA19="NORM",'[1]LMP IN MST'!$AB19="NOV"),'[1]LMP IN PPT'!Q21,IF(AND('[1]LMP IN PPT'!$A21='[1]LMP IN MST'!$A19,'[1]LMP IN MST'!$Z19="DST",'[1]LMP IN MST'!$AA19="NORM",OR('[1]LMP IN MST'!$AB19="MAR",'[1]LMP IN MST'!$AB19="")),'[1]LMP IN PPT'!P21,0))))))</f>
        <v>-5.6464400000000001</v>
      </c>
      <c r="N19">
        <f>IF(AND('[1]LMP IN PPT'!$A21='[1]LMP IN MST'!$A19,'[1]LMP IN MST'!$Z19="ST",'[1]LMP IN MST'!$AA19="NORM",OR('[1]LMP IN MST'!$AB19="MAR",'[1]LMP IN MST'!$AB19="")),'[1]LMP IN PPT'!P21,IF(AND('[1]LMP IN PPT'!$A21='[1]LMP IN MST'!$A19,'[1]LMP IN MST'!$Z19="DST",'[1]LMP IN MST'!$AA19="FB",'[1]LMP IN MST'!$AB19="NOV"),'[1]LMP IN PPT'!Q21,IF(AND('[1]LMP IN PPT'!$A21='[1]LMP IN MST'!$A19,'[1]LMP IN MST'!$Z19="ST",'[1]LMP IN MST'!$AA19="NORM",'[1]LMP IN MST'!$AB19="NOV"),'[1]LMP IN PPT'!Q21,IF(AND('[1]LMP IN PPT'!$A21='[1]LMP IN MST'!$A19,'[1]LMP IN MST'!$Z19="DST",'[1]LMP IN MST'!$AA19="SF",'[1]LMP IN MST'!$AB19="MAR"),'[1]LMP IN PPT'!Q21,IF(AND('[1]LMP IN PPT'!$A21='[1]LMP IN MST'!$A19,'[1]LMP IN MST'!$Z19="DST",'[1]LMP IN MST'!$AA19="NORM",'[1]LMP IN MST'!$AB19="NOV"),'[1]LMP IN PPT'!R21,IF(AND('[1]LMP IN PPT'!$A21='[1]LMP IN MST'!$A19,'[1]LMP IN MST'!$Z19="DST",'[1]LMP IN MST'!$AA19="NORM",OR('[1]LMP IN MST'!$AB19="MAR",'[1]LMP IN MST'!$AB19="")),'[1]LMP IN PPT'!Q21,0))))))</f>
        <v>-5.8240499999999997</v>
      </c>
      <c r="O19">
        <f>IF(AND('[1]LMP IN PPT'!$A21='[1]LMP IN MST'!$A19,'[1]LMP IN MST'!$Z19="ST",'[1]LMP IN MST'!$AA19="NORM",OR('[1]LMP IN MST'!$AB19="MAR",'[1]LMP IN MST'!$AB19="")),'[1]LMP IN PPT'!Q21,IF(AND('[1]LMP IN PPT'!$A21='[1]LMP IN MST'!$A19,'[1]LMP IN MST'!$Z19="DST",'[1]LMP IN MST'!$AA19="FB",'[1]LMP IN MST'!$AB19="NOV"),'[1]LMP IN PPT'!R21,IF(AND('[1]LMP IN PPT'!$A21='[1]LMP IN MST'!$A19,'[1]LMP IN MST'!$Z19="ST",'[1]LMP IN MST'!$AA19="NORM",'[1]LMP IN MST'!$AB19="NOV"),'[1]LMP IN PPT'!R21,IF(AND('[1]LMP IN PPT'!$A21='[1]LMP IN MST'!$A19,'[1]LMP IN MST'!$Z19="DST",'[1]LMP IN MST'!$AA19="SF",'[1]LMP IN MST'!$AB19="MAR"),'[1]LMP IN PPT'!R21,IF(AND('[1]LMP IN PPT'!$A21='[1]LMP IN MST'!$A19,'[1]LMP IN MST'!$Z19="DST",'[1]LMP IN MST'!$AA19="NORM",'[1]LMP IN MST'!$AB19="NOV"),'[1]LMP IN PPT'!S21,IF(AND('[1]LMP IN PPT'!$A21='[1]LMP IN MST'!$A19,'[1]LMP IN MST'!$Z19="DST",'[1]LMP IN MST'!$AA19="NORM",OR('[1]LMP IN MST'!$AB19="MAR",'[1]LMP IN MST'!$AB19="")),'[1]LMP IN PPT'!R21,0))))))</f>
        <v>-4.6534899999999997</v>
      </c>
      <c r="P19">
        <f>IF(AND('[1]LMP IN PPT'!$A21='[1]LMP IN MST'!$A19,'[1]LMP IN MST'!$Z19="ST",'[1]LMP IN MST'!$AA19="NORM",OR('[1]LMP IN MST'!$AB19="MAR",'[1]LMP IN MST'!$AB19="")),'[1]LMP IN PPT'!R21,IF(AND('[1]LMP IN PPT'!$A21='[1]LMP IN MST'!$A19,'[1]LMP IN MST'!$Z19="DST",'[1]LMP IN MST'!$AA19="FB",'[1]LMP IN MST'!$AB19="NOV"),'[1]LMP IN PPT'!S21,IF(AND('[1]LMP IN PPT'!$A21='[1]LMP IN MST'!$A19,'[1]LMP IN MST'!$Z19="ST",'[1]LMP IN MST'!$AA19="NORM",'[1]LMP IN MST'!$AB19="NOV"),'[1]LMP IN PPT'!S21,IF(AND('[1]LMP IN PPT'!$A21='[1]LMP IN MST'!$A19,'[1]LMP IN MST'!$Z19="DST",'[1]LMP IN MST'!$AA19="SF",'[1]LMP IN MST'!$AB19="MAR"),'[1]LMP IN PPT'!S21,IF(AND('[1]LMP IN PPT'!$A21='[1]LMP IN MST'!$A19,'[1]LMP IN MST'!$Z19="DST",'[1]LMP IN MST'!$AA19="NORM",'[1]LMP IN MST'!$AB19="NOV"),'[1]LMP IN PPT'!T21,IF(AND('[1]LMP IN PPT'!$A21='[1]LMP IN MST'!$A19,'[1]LMP IN MST'!$Z19="DST",'[1]LMP IN MST'!$AA19="NORM",OR('[1]LMP IN MST'!$AB19="MAR",'[1]LMP IN MST'!$AB19="")),'[1]LMP IN PPT'!S21,0))))))</f>
        <v>-4.8567600000000004</v>
      </c>
      <c r="Q19">
        <f>IF(AND('[1]LMP IN PPT'!$A21='[1]LMP IN MST'!$A19,'[1]LMP IN MST'!$Z19="ST",'[1]LMP IN MST'!$AA19="NORM",OR('[1]LMP IN MST'!$AB19="MAR",'[1]LMP IN MST'!$AB19="")),'[1]LMP IN PPT'!S21,IF(AND('[1]LMP IN PPT'!$A21='[1]LMP IN MST'!$A19,'[1]LMP IN MST'!$Z19="DST",'[1]LMP IN MST'!$AA19="FB",'[1]LMP IN MST'!$AB19="NOV"),'[1]LMP IN PPT'!T21,IF(AND('[1]LMP IN PPT'!$A21='[1]LMP IN MST'!$A19,'[1]LMP IN MST'!$Z19="ST",'[1]LMP IN MST'!$AA19="NORM",'[1]LMP IN MST'!$AB19="NOV"),'[1]LMP IN PPT'!T21,IF(AND('[1]LMP IN PPT'!$A21='[1]LMP IN MST'!$A19,'[1]LMP IN MST'!$Z19="DST",'[1]LMP IN MST'!$AA19="SF",'[1]LMP IN MST'!$AB19="MAR"),'[1]LMP IN PPT'!T21,IF(AND('[1]LMP IN PPT'!$A21='[1]LMP IN MST'!$A19,'[1]LMP IN MST'!$Z19="DST",'[1]LMP IN MST'!$AA19="NORM",'[1]LMP IN MST'!$AB19="NOV"),'[1]LMP IN PPT'!U21,IF(AND('[1]LMP IN PPT'!$A21='[1]LMP IN MST'!$A19,'[1]LMP IN MST'!$Z19="DST",'[1]LMP IN MST'!$AA19="NORM",OR('[1]LMP IN MST'!$AB19="MAR",'[1]LMP IN MST'!$AB19="")),'[1]LMP IN PPT'!T21,0))))))</f>
        <v>0.23691000000000001</v>
      </c>
      <c r="R19">
        <f>IF(AND('[1]LMP IN PPT'!$A21='[1]LMP IN MST'!$A19,'[1]LMP IN MST'!$Z19="ST",'[1]LMP IN MST'!$AA19="NORM",OR('[1]LMP IN MST'!$AB19="MAR",'[1]LMP IN MST'!$AB19="")),'[1]LMP IN PPT'!T21,IF(AND('[1]LMP IN PPT'!$A21='[1]LMP IN MST'!$A19,'[1]LMP IN MST'!$Z19="DST",'[1]LMP IN MST'!$AA19="FB",'[1]LMP IN MST'!$AB19="NOV"),'[1]LMP IN PPT'!U21,IF(AND('[1]LMP IN PPT'!$A21='[1]LMP IN MST'!$A19,'[1]LMP IN MST'!$Z19="ST",'[1]LMP IN MST'!$AA19="NORM",'[1]LMP IN MST'!$AB19="NOV"),'[1]LMP IN PPT'!U21,IF(AND('[1]LMP IN PPT'!$A21='[1]LMP IN MST'!$A19,'[1]LMP IN MST'!$Z19="DST",'[1]LMP IN MST'!$AA19="SF",'[1]LMP IN MST'!$AB19="MAR"),'[1]LMP IN PPT'!U21,IF(AND('[1]LMP IN PPT'!$A21='[1]LMP IN MST'!$A19,'[1]LMP IN MST'!$Z19="DST",'[1]LMP IN MST'!$AA19="NORM",'[1]LMP IN MST'!$AB19="NOV"),'[1]LMP IN PPT'!V21,IF(AND('[1]LMP IN PPT'!$A21='[1]LMP IN MST'!$A19,'[1]LMP IN MST'!$Z19="DST",'[1]LMP IN MST'!$AA19="NORM",OR('[1]LMP IN MST'!$AB19="MAR",'[1]LMP IN MST'!$AB19="")),'[1]LMP IN PPT'!U21,0))))))</f>
        <v>9.4945599999999999</v>
      </c>
      <c r="S19">
        <f>IF(AND('[1]LMP IN PPT'!$A21='[1]LMP IN MST'!$A19,'[1]LMP IN MST'!$Z19="ST",'[1]LMP IN MST'!$AA19="NORM",OR('[1]LMP IN MST'!$AB19="MAR",'[1]LMP IN MST'!$AB19="")),'[1]LMP IN PPT'!U21,IF(AND('[1]LMP IN PPT'!$A21='[1]LMP IN MST'!$A19,'[1]LMP IN MST'!$Z19="DST",'[1]LMP IN MST'!$AA19="FB",'[1]LMP IN MST'!$AB19="NOV"),'[1]LMP IN PPT'!V21,IF(AND('[1]LMP IN PPT'!$A21='[1]LMP IN MST'!$A19,'[1]LMP IN MST'!$Z19="ST",'[1]LMP IN MST'!$AA19="NORM",'[1]LMP IN MST'!$AB19="NOV"),'[1]LMP IN PPT'!V21,IF(AND('[1]LMP IN PPT'!$A21='[1]LMP IN MST'!$A19,'[1]LMP IN MST'!$Z19="DST",'[1]LMP IN MST'!$AA19="SF",'[1]LMP IN MST'!$AB19="MAR"),'[1]LMP IN PPT'!V21,IF(AND('[1]LMP IN PPT'!$A21='[1]LMP IN MST'!$A19,'[1]LMP IN MST'!$Z19="DST",'[1]LMP IN MST'!$AA19="NORM",'[1]LMP IN MST'!$AB19="NOV"),'[1]LMP IN PPT'!W21,IF(AND('[1]LMP IN PPT'!$A21='[1]LMP IN MST'!$A19,'[1]LMP IN MST'!$Z19="DST",'[1]LMP IN MST'!$AA19="NORM",OR('[1]LMP IN MST'!$AB19="MAR",'[1]LMP IN MST'!$AB19="")),'[1]LMP IN PPT'!V21,0))))))</f>
        <v>35.421289999999999</v>
      </c>
      <c r="T19">
        <f>IF(AND('[1]LMP IN PPT'!$A21='[1]LMP IN MST'!$A19,'[1]LMP IN MST'!$Z19="ST",'[1]LMP IN MST'!$AA19="NORM",OR('[1]LMP IN MST'!$AB19="MAR",'[1]LMP IN MST'!$AB19="")),'[1]LMP IN PPT'!V21,IF(AND('[1]LMP IN PPT'!$A21='[1]LMP IN MST'!$A19,'[1]LMP IN MST'!$Z19="DST",'[1]LMP IN MST'!$AA19="FB",'[1]LMP IN MST'!$AB19="NOV"),'[1]LMP IN PPT'!W21,IF(AND('[1]LMP IN PPT'!$A21='[1]LMP IN MST'!$A19,'[1]LMP IN MST'!$Z19="ST",'[1]LMP IN MST'!$AA19="NORM",'[1]LMP IN MST'!$AB19="NOV"),'[1]LMP IN PPT'!W21,IF(AND('[1]LMP IN PPT'!$A21='[1]LMP IN MST'!$A19,'[1]LMP IN MST'!$Z19="DST",'[1]LMP IN MST'!$AA19="SF",'[1]LMP IN MST'!$AB19="MAR"),'[1]LMP IN PPT'!W21,IF(AND('[1]LMP IN PPT'!$A21='[1]LMP IN MST'!$A19,'[1]LMP IN MST'!$Z19="DST",'[1]LMP IN MST'!$AA19="NORM",'[1]LMP IN MST'!$AB19="NOV"),'[1]LMP IN PPT'!X21,IF(AND('[1]LMP IN PPT'!$A21='[1]LMP IN MST'!$A19,'[1]LMP IN MST'!$Z19="DST",'[1]LMP IN MST'!$AA19="NORM",OR('[1]LMP IN MST'!$AB19="MAR",'[1]LMP IN MST'!$AB19="")),'[1]LMP IN PPT'!W21,0))))))</f>
        <v>52.695390000000003</v>
      </c>
      <c r="U19">
        <f>IF(AND('[1]LMP IN PPT'!$A21='[1]LMP IN MST'!$A19,'[1]LMP IN MST'!$Z19="ST",'[1]LMP IN MST'!$AA19="NORM",OR('[1]LMP IN MST'!$AB19="MAR",'[1]LMP IN MST'!$AB19="")),'[1]LMP IN PPT'!W21,IF(AND('[1]LMP IN PPT'!$A21='[1]LMP IN MST'!$A19,'[1]LMP IN MST'!$Z19="DST",'[1]LMP IN MST'!$AA19="FB",'[1]LMP IN MST'!$AB19="NOV"),'[1]LMP IN PPT'!X21,IF(AND('[1]LMP IN PPT'!$A21='[1]LMP IN MST'!$A19,'[1]LMP IN MST'!$Z19="ST",'[1]LMP IN MST'!$AA19="NORM",'[1]LMP IN MST'!$AB19="NOV"),'[1]LMP IN PPT'!X21,IF(AND('[1]LMP IN PPT'!$A21='[1]LMP IN MST'!$A19,'[1]LMP IN MST'!$Z19="DST",'[1]LMP IN MST'!$AA19="SF",'[1]LMP IN MST'!$AB19="MAR"),'[1]LMP IN PPT'!X21,IF(AND('[1]LMP IN PPT'!$A21='[1]LMP IN MST'!$A19,'[1]LMP IN MST'!$Z19="DST",'[1]LMP IN MST'!$AA19="NORM",'[1]LMP IN MST'!$AB19="NOV"),'[1]LMP IN PPT'!Y21,IF(AND('[1]LMP IN PPT'!$A21='[1]LMP IN MST'!$A19,'[1]LMP IN MST'!$Z19="DST",'[1]LMP IN MST'!$AA19="NORM",OR('[1]LMP IN MST'!$AB19="MAR",'[1]LMP IN MST'!$AB19="")),'[1]LMP IN PPT'!X21,0))))))</f>
        <v>64.453900000000004</v>
      </c>
      <c r="V19">
        <f>IF(AND('[1]LMP IN PPT'!$A21='[1]LMP IN MST'!$A19,'[1]LMP IN MST'!$Z19="ST",'[1]LMP IN MST'!$AA19="NORM",OR('[1]LMP IN MST'!$AB19="MAR",'[1]LMP IN MST'!$AB19="")),'[1]LMP IN PPT'!X21,IF(AND('[1]LMP IN PPT'!$A21='[1]LMP IN MST'!$A19,'[1]LMP IN MST'!$Z19="DST",'[1]LMP IN MST'!$AA19="FB",'[1]LMP IN MST'!$AB19="NOV"),'[1]LMP IN PPT'!Y21,IF(AND('[1]LMP IN PPT'!$A21='[1]LMP IN MST'!$A19,'[1]LMP IN MST'!$Z19="ST",'[1]LMP IN MST'!$AA19="NORM",'[1]LMP IN MST'!$AB19="NOV"),'[1]LMP IN PPT'!Y21,IF(AND('[1]LMP IN PPT'!$A21='[1]LMP IN MST'!$A19,'[1]LMP IN MST'!$Z19="DST",'[1]LMP IN MST'!$AA19="SF",'[1]LMP IN MST'!$AB19="MAR"),'[1]LMP IN PPT'!Y21,IF(AND('[1]LMP IN PPT'!$A21='[1]LMP IN MST'!$A19,'[1]LMP IN MST'!$Z19="DST",'[1]LMP IN MST'!$AA19="NORM",'[1]LMP IN MST'!$AB19="NOV"),'[1]LMP IN PPT'!Z21,IF(AND('[1]LMP IN PPT'!$A21='[1]LMP IN MST'!$A19,'[1]LMP IN MST'!$Z19="DST",'[1]LMP IN MST'!$AA19="NORM",OR('[1]LMP IN MST'!$AB19="MAR",'[1]LMP IN MST'!$AB19="")),'[1]LMP IN PPT'!Y21,0))))))</f>
        <v>54.971449999999997</v>
      </c>
      <c r="W19">
        <f>IF(AND('[1]LMP IN PPT'!$A21='[1]LMP IN MST'!$A19,'[1]LMP IN MST'!$Z19="ST",'[1]LMP IN MST'!$AA19="NORM",OR('[1]LMP IN MST'!$AB19="MAR",'[1]LMP IN MST'!$AB19="")),'[1]LMP IN PPT'!Y21,IF(AND('[1]LMP IN PPT'!$A21='[1]LMP IN MST'!$A19,'[1]LMP IN MST'!$Z19="DST",'[1]LMP IN MST'!$AA19="FB",'[1]LMP IN MST'!$AB19="NOV"),'[1]LMP IN PPT'!Z21,IF(AND('[1]LMP IN PPT'!$A21='[1]LMP IN MST'!$A19,'[1]LMP IN MST'!$Z19="ST",'[1]LMP IN MST'!$AA19="NORM",'[1]LMP IN MST'!$AB19="NOV"),'[1]LMP IN PPT'!Z21,IF(AND('[1]LMP IN PPT'!$A21='[1]LMP IN MST'!$A19,'[1]LMP IN MST'!$Z19="DST",'[1]LMP IN MST'!$AA19="SF",'[1]LMP IN MST'!$AB19="MAR"),'[1]LMP IN PPT'!Z21,IF(AND('[1]LMP IN PPT'!$A21='[1]LMP IN MST'!$A19,'[1]LMP IN MST'!$Z19="DST",'[1]LMP IN MST'!$AA19="NORM",'[1]LMP IN MST'!$AB19="NOV"),'[1]LMP IN PPT'!AA21,IF(AND('[1]LMP IN PPT'!$A21='[1]LMP IN MST'!$A19,'[1]LMP IN MST'!$Z19="DST",'[1]LMP IN MST'!$AA19="NORM",OR('[1]LMP IN MST'!$AB19="MAR",'[1]LMP IN MST'!$AB19="")),'[1]LMP IN PPT'!Z21,0))))))</f>
        <v>52.090580000000003</v>
      </c>
      <c r="X19">
        <f>IF(AND('[1]LMP IN PPT'!$A21='[1]LMP IN MST'!$A19,'[1]LMP IN MST'!$Z19="ST",'[1]LMP IN MST'!$AA19="NORM",OR('[1]LMP IN MST'!$AB19="MAR",'[1]LMP IN MST'!$AB19="")),'[1]LMP IN PPT'!Z21,IF(AND('[1]LMP IN PPT'!$A21='[1]LMP IN MST'!$A19,'[1]LMP IN MST'!$Z19="DST",'[1]LMP IN MST'!$AA19="FB",'[1]LMP IN MST'!$AB19="NOV"),'[1]LMP IN PPT'!AA21,IF(AND('[1]LMP IN PPT'!$A21='[1]LMP IN MST'!$A19,'[1]LMP IN MST'!$Z19="ST",'[1]LMP IN MST'!$AA19="NORM",'[1]LMP IN MST'!$AB19="NOV"),'[1]LMP IN PPT'!AA21,IF(AND('[1]LMP IN PPT'!$A21='[1]LMP IN MST'!$A19,'[1]LMP IN MST'!$Z19="DST",'[1]LMP IN MST'!$AA19="SF",'[1]LMP IN MST'!$AB19="MAR"),'[1]LMP IN PPT'!AA21,IF(AND('[1]LMP IN PPT'!$A21='[1]LMP IN MST'!$A19,'[1]LMP IN MST'!$Z19="DST",'[1]LMP IN MST'!$AA19="NORM",'[1]LMP IN MST'!$AB19="NOV"),'[1]LMP IN PPT'!AB21,IF(AND('[1]LMP IN PPT'!$A21='[1]LMP IN MST'!$A19,'[1]LMP IN MST'!$Z19="DST",'[1]LMP IN MST'!$AA19="NORM",OR('[1]LMP IN MST'!$AB19="MAR",'[1]LMP IN MST'!$AB19="")),'[1]LMP IN PPT'!AA21,0))))))</f>
        <v>49.359630000000003</v>
      </c>
      <c r="Y19">
        <f>IF(AND('[1]LMP IN PPT'!$A21='[1]LMP IN MST'!$A19,'[1]LMP IN MST'!$Z19="ST",'[1]LMP IN MST'!$AA19="NORM",OR('[1]LMP IN MST'!$AB19="MAR",'[1]LMP IN MST'!$AB19="")),'[1]LMP IN PPT'!AA21,IF(AND('[1]LMP IN PPT'!$A21='[1]LMP IN MST'!$A19,'[1]LMP IN MST'!$Z19="DST",'[1]LMP IN MST'!$AA19="FB",'[1]LMP IN MST'!$AB19="NOV"),'[1]LMP IN PPT'!AB21,IF(AND('[1]LMP IN PPT'!$A21='[1]LMP IN MST'!$A19,'[1]LMP IN MST'!$Z19="ST",'[1]LMP IN MST'!$AA19="NORM",'[1]LMP IN MST'!$AB19="NOV"),'[1]LMP IN PPT'!AB21,IF(AND('[1]LMP IN PPT'!$A21='[1]LMP IN MST'!$A19,'[1]LMP IN MST'!$Z19="DST",'[1]LMP IN MST'!$AA19="SF",'[1]LMP IN MST'!$AB19="MAR"),'[1]LMP IN PPT'!AB21,IF(AND('[1]LMP IN PPT'!$A21='[1]LMP IN MST'!$A19,'[1]LMP IN MST'!$Z19="DST",'[1]LMP IN MST'!$AA19="NORM",'[1]LMP IN MST'!$AB19="NOV"),'[1]LMP IN PPT'!AC21,IF(AND('[1]LMP IN PPT'!$A21='[1]LMP IN MST'!$A19,'[1]LMP IN MST'!$Z19="DST",'[1]LMP IN MST'!$AA19="NORM",OR('[1]LMP IN MST'!$AB19="MAR",'[1]LMP IN MST'!$AB19="")),'[1]LMP IN PPT'!AB21,0))))))</f>
        <v>38.67906</v>
      </c>
    </row>
    <row r="20" spans="1:25" x14ac:dyDescent="0.3">
      <c r="A20" s="1">
        <f t="shared" si="0"/>
        <v>45370</v>
      </c>
      <c r="B20">
        <f>IF(AND('[1]LMP IN PPT'!$A22='[1]LMP IN MST'!$A20,'[1]LMP IN MST'!$Z20="ST",'[1]LMP IN MST'!$AA20="NORM",'[1]LMP IN MST'!$AB20="NOV"),'[1]LMP IN PPT'!AC21,IF(AND('[1]LMP IN PPT'!$A22='[1]LMP IN MST'!$A20,'[1]LMP IN MST'!$Z20="ST",'[1]LMP IN MST'!$AA20="NORM",'[1]LMP IN MST'!$AB20="MAR"),'[1]LMP IN PPT'!AB21,IF(AND('[1]LMP IN PPT'!$A22='[1]LMP IN MST'!$A20,'[1]LMP IN MST'!$Z20="ST",'[1]LMP IN MST'!$AA20="NORM",'[1]LMP IN MST'!$AB20=""),'[1]LMP IN PPT'!AB21,IF(AND('[1]LMP IN PPT'!$A22='[1]LMP IN MST'!$A20,'[1]LMP IN MST'!$Z20="DST",'[1]LMP IN MST'!$AA20="FB",'[1]LMP IN MST'!$AB20="NOV"),'[1]LMP IN PPT'!E22,IF(AND('[1]LMP IN PPT'!$A22='[1]LMP IN MST'!$A20,'[1]LMP IN MST'!$Z20="DST",'[1]LMP IN MST'!$AA20="SF",'[1]LMP IN MST'!$AB20="MAR"),'[1]LMP IN PPT'!AB21,IF(AND('[1]LMP IN PPT'!$A22='[1]LMP IN MST'!$A20,'[1]LMP IN MST'!$Z20="DST",'[1]LMP IN MST'!$AA20="NORM",OR('[1]LMP IN MST'!$AB20="MAR",'[1]LMP IN MST'!$AB20="",'[1]LMP IN MST'!$AB20="NOV")),'[1]LMP IN PPT'!E22,0))))))</f>
        <v>34.3371</v>
      </c>
      <c r="C20">
        <f>IF(AND('[1]LMP IN PPT'!$A22='[1]LMP IN MST'!$A20,'[1]LMP IN MST'!$Z20="ST",'[1]LMP IN MST'!$AA20="NORM",OR('[1]LMP IN MST'!$AB20="NOV",'[1]LMP IN MST'!$AB20="MAR",'[1]LMP IN MST'!$AB20="")),'[1]LMP IN PPT'!E22,IF(AND('[1]LMP IN PPT'!$A22='[1]LMP IN MST'!$A20,'[1]LMP IN MST'!$Z20="DST",'[1]LMP IN MST'!$AA20="FB",'[1]LMP IN MST'!$AB20="NOV"),'[1]LMP IN PPT'!F22,IF(AND('[1]LMP IN PPT'!$A22='[1]LMP IN MST'!$A20,'[1]LMP IN MST'!$Z20="DST",'[1]LMP IN MST'!$AA20="SF",'[1]LMP IN MST'!$AB20="MAR"),'[1]LMP IN PPT'!E22,IF(AND('[1]LMP IN PPT'!$A22='[1]LMP IN MST'!$A20,'[1]LMP IN MST'!$Z20="DST",'[1]LMP IN MST'!$AA20="NORM",OR('[1]LMP IN MST'!$AB20="MAR",'[1]LMP IN MST'!$AB20="",'[1]LMP IN MST'!$AB20="NOV")),'[1]LMP IN PPT'!F22,0))))</f>
        <v>31.591560000000001</v>
      </c>
      <c r="D20">
        <f>IF(AND('[1]LMP IN PPT'!$A22='[1]LMP IN MST'!$A20,'[1]LMP IN MST'!$Z20="ST",'[1]LMP IN MST'!$AA20="NORM",OR('[1]LMP IN MST'!$AB20="NOV",'[1]LMP IN MST'!$AB20="MAR",'[1]LMP IN MST'!$AB20="")),'[1]LMP IN PPT'!F22,IF(AND('[1]LMP IN PPT'!$A22='[1]LMP IN MST'!$A20,'[1]LMP IN MST'!$Z20="DST",'[1]LMP IN MST'!$AA20="FB",'[1]LMP IN MST'!$AB20="NOV"),'[1]LMP IN PPT'!G22,IF(AND('[1]LMP IN PPT'!$A22='[1]LMP IN MST'!$A20,'[1]LMP IN MST'!$Z20="DST",'[1]LMP IN MST'!$AA20="SF",'[1]LMP IN MST'!$AB20="MAR"),'[1]LMP IN PPT'!F22,IF(AND('[1]LMP IN PPT'!$A22='[1]LMP IN MST'!$A20,'[1]LMP IN MST'!$Z20="DST",'[1]LMP IN MST'!$AA20="NORM",'[1]LMP IN MST'!$AB20="NOV"),'[1]LMP IN PPT'!H22,IF(AND('[1]LMP IN PPT'!$A22='[1]LMP IN MST'!$A20,'[1]LMP IN MST'!$Z20="DST",'[1]LMP IN MST'!$AA20="NORM",OR('[1]LMP IN MST'!$AB20="MAR",'[1]LMP IN MST'!$AB20="")),'[1]LMP IN PPT'!G22,0)))))</f>
        <v>30.614059999999998</v>
      </c>
      <c r="E20">
        <f>IF(AND('[1]LMP IN PPT'!$A22='[1]LMP IN MST'!$A20,'[1]LMP IN MST'!$Z20="ST",'[1]LMP IN MST'!$AA20="NORM",OR('[1]LMP IN MST'!$AB20="MAR",'[1]LMP IN MST'!$AB20="")),'[1]LMP IN PPT'!G22,IF(AND('[1]LMP IN PPT'!$A22='[1]LMP IN MST'!$A20,'[1]LMP IN MST'!$Z20="DST",'[1]LMP IN MST'!$AA20="FB",'[1]LMP IN MST'!$AB20="NOV"),'[1]LMP IN PPT'!H22,IF(AND('[1]LMP IN PPT'!$A22='[1]LMP IN MST'!$A20,'[1]LMP IN MST'!$Z20="ST",'[1]LMP IN MST'!$AA20="NORM",'[1]LMP IN MST'!$AB20="NOV"),'[1]LMP IN PPT'!H22,IF(AND('[1]LMP IN PPT'!$A22='[1]LMP IN MST'!$A20,'[1]LMP IN MST'!$Z20="DST",'[1]LMP IN MST'!$AA20="SF",'[1]LMP IN MST'!$AB20="MAR"),'[1]LMP IN PPT'!H22,IF(AND('[1]LMP IN PPT'!$A22='[1]LMP IN MST'!$A20,'[1]LMP IN MST'!$Z20="DST",'[1]LMP IN MST'!$AA20="NORM",'[1]LMP IN MST'!$AB20="NOV"),'[1]LMP IN PPT'!I22,IF(AND('[1]LMP IN PPT'!$A22='[1]LMP IN MST'!$A20,'[1]LMP IN MST'!$Z20="DST",'[1]LMP IN MST'!$AA20="NORM",OR('[1]LMP IN MST'!$AB20="MAR",'[1]LMP IN MST'!$AB20="")),'[1]LMP IN PPT'!H22,0))))))</f>
        <v>30.540320000000001</v>
      </c>
      <c r="F20">
        <f>IF(AND('[1]LMP IN PPT'!$A22='[1]LMP IN MST'!$A20,'[1]LMP IN MST'!$Z20="ST",'[1]LMP IN MST'!$AA20="NORM",OR('[1]LMP IN MST'!$AB20="MAR",'[1]LMP IN MST'!$AB20="")),'[1]LMP IN PPT'!H22,IF(AND('[1]LMP IN PPT'!$A22='[1]LMP IN MST'!$A20,'[1]LMP IN MST'!$Z20="DST",'[1]LMP IN MST'!$AA20="FB",'[1]LMP IN MST'!$AB20="NOV"),'[1]LMP IN PPT'!I22,IF(AND('[1]LMP IN PPT'!$A22='[1]LMP IN MST'!$A20,'[1]LMP IN MST'!$Z20="ST",'[1]LMP IN MST'!$AA20="NORM",'[1]LMP IN MST'!$AB20="NOV"),'[1]LMP IN PPT'!I22,IF(AND('[1]LMP IN PPT'!$A22='[1]LMP IN MST'!$A20,'[1]LMP IN MST'!$Z20="DST",'[1]LMP IN MST'!$AA20="SF",'[1]LMP IN MST'!$AB20="MAR"),'[1]LMP IN PPT'!I22,IF(AND('[1]LMP IN PPT'!$A22='[1]LMP IN MST'!$A20,'[1]LMP IN MST'!$Z20="DST",'[1]LMP IN MST'!$AA20="NORM",'[1]LMP IN MST'!$AB20="NOV"),'[1]LMP IN PPT'!J22,IF(AND('[1]LMP IN PPT'!$A22='[1]LMP IN MST'!$A20,'[1]LMP IN MST'!$Z20="DST",'[1]LMP IN MST'!$AA20="NORM",OR('[1]LMP IN MST'!$AB20="MAR",'[1]LMP IN MST'!$AB20="")),'[1]LMP IN PPT'!I22,0))))))</f>
        <v>31.730650000000001</v>
      </c>
      <c r="G20">
        <f>IF(AND('[1]LMP IN PPT'!$A22='[1]LMP IN MST'!$A20,'[1]LMP IN MST'!$Z20="ST",'[1]LMP IN MST'!$AA20="NORM",OR('[1]LMP IN MST'!$AB20="MAR",'[1]LMP IN MST'!$AB20="")),'[1]LMP IN PPT'!I22,IF(AND('[1]LMP IN PPT'!$A22='[1]LMP IN MST'!$A20,'[1]LMP IN MST'!$Z20="DST",'[1]LMP IN MST'!$AA20="FB",'[1]LMP IN MST'!$AB20="NOV"),'[1]LMP IN PPT'!J22,IF(AND('[1]LMP IN PPT'!$A22='[1]LMP IN MST'!$A20,'[1]LMP IN MST'!$Z20="ST",'[1]LMP IN MST'!$AA20="NORM",'[1]LMP IN MST'!$AB20="NOV"),'[1]LMP IN PPT'!J22,IF(AND('[1]LMP IN PPT'!$A22='[1]LMP IN MST'!$A20,'[1]LMP IN MST'!$Z20="DST",'[1]LMP IN MST'!$AA20="SF",'[1]LMP IN MST'!$AB20="MAR"),'[1]LMP IN PPT'!J22,IF(AND('[1]LMP IN PPT'!$A22='[1]LMP IN MST'!$A20,'[1]LMP IN MST'!$Z20="DST",'[1]LMP IN MST'!$AA20="NORM",'[1]LMP IN MST'!$AB20="NOV"),'[1]LMP IN PPT'!K22,IF(AND('[1]LMP IN PPT'!$A22='[1]LMP IN MST'!$A20,'[1]LMP IN MST'!$Z20="DST",'[1]LMP IN MST'!$AA20="NORM",OR('[1]LMP IN MST'!$AB20="MAR",'[1]LMP IN MST'!$AB20="")),'[1]LMP IN PPT'!J22,0))))))</f>
        <v>39.610320000000002</v>
      </c>
      <c r="H20">
        <f>IF(AND('[1]LMP IN PPT'!$A22='[1]LMP IN MST'!$A20,'[1]LMP IN MST'!$Z20="ST",'[1]LMP IN MST'!$AA20="NORM",OR('[1]LMP IN MST'!$AB20="MAR",'[1]LMP IN MST'!$AB20="")),'[1]LMP IN PPT'!J22,IF(AND('[1]LMP IN PPT'!$A22='[1]LMP IN MST'!$A20,'[1]LMP IN MST'!$Z20="DST",'[1]LMP IN MST'!$AA20="FB",'[1]LMP IN MST'!$AB20="NOV"),'[1]LMP IN PPT'!K22,IF(AND('[1]LMP IN PPT'!$A22='[1]LMP IN MST'!$A20,'[1]LMP IN MST'!$Z20="ST",'[1]LMP IN MST'!$AA20="NORM",'[1]LMP IN MST'!$AB20="NOV"),'[1]LMP IN PPT'!K22,IF(AND('[1]LMP IN PPT'!$A22='[1]LMP IN MST'!$A20,'[1]LMP IN MST'!$Z20="DST",'[1]LMP IN MST'!$AA20="SF",'[1]LMP IN MST'!$AB20="MAR"),'[1]LMP IN PPT'!K22,IF(AND('[1]LMP IN PPT'!$A22='[1]LMP IN MST'!$A20,'[1]LMP IN MST'!$Z20="DST",'[1]LMP IN MST'!$AA20="NORM",'[1]LMP IN MST'!$AB20="NOV"),'[1]LMP IN PPT'!L22,IF(AND('[1]LMP IN PPT'!$A22='[1]LMP IN MST'!$A20,'[1]LMP IN MST'!$Z20="DST",'[1]LMP IN MST'!$AA20="NORM",OR('[1]LMP IN MST'!$AB20="MAR",'[1]LMP IN MST'!$AB20="")),'[1]LMP IN PPT'!K22,0))))))</f>
        <v>47.504309999999997</v>
      </c>
      <c r="I20">
        <f>IF(AND('[1]LMP IN PPT'!$A22='[1]LMP IN MST'!$A20,'[1]LMP IN MST'!$Z20="ST",'[1]LMP IN MST'!$AA20="NORM",OR('[1]LMP IN MST'!$AB20="MAR",'[1]LMP IN MST'!$AB20="")),'[1]LMP IN PPT'!K22,IF(AND('[1]LMP IN PPT'!$A22='[1]LMP IN MST'!$A20,'[1]LMP IN MST'!$Z20="DST",'[1]LMP IN MST'!$AA20="FB",'[1]LMP IN MST'!$AB20="NOV"),'[1]LMP IN PPT'!L22,IF(AND('[1]LMP IN PPT'!$A22='[1]LMP IN MST'!$A20,'[1]LMP IN MST'!$Z20="ST",'[1]LMP IN MST'!$AA20="NORM",'[1]LMP IN MST'!$AB20="NOV"),'[1]LMP IN PPT'!L22,IF(AND('[1]LMP IN PPT'!$A22='[1]LMP IN MST'!$A20,'[1]LMP IN MST'!$Z20="DST",'[1]LMP IN MST'!$AA20="SF",'[1]LMP IN MST'!$AB20="MAR"),'[1]LMP IN PPT'!L22,IF(AND('[1]LMP IN PPT'!$A22='[1]LMP IN MST'!$A20,'[1]LMP IN MST'!$Z20="DST",'[1]LMP IN MST'!$AA20="NORM",'[1]LMP IN MST'!$AB20="NOV"),'[1]LMP IN PPT'!M22,IF(AND('[1]LMP IN PPT'!$A22='[1]LMP IN MST'!$A20,'[1]LMP IN MST'!$Z20="DST",'[1]LMP IN MST'!$AA20="NORM",OR('[1]LMP IN MST'!$AB20="MAR",'[1]LMP IN MST'!$AB20="")),'[1]LMP IN PPT'!L22,0))))))</f>
        <v>41.659109999999998</v>
      </c>
      <c r="J20">
        <f>IF(AND('[1]LMP IN PPT'!$A22='[1]LMP IN MST'!$A20,'[1]LMP IN MST'!$Z20="ST",'[1]LMP IN MST'!$AA20="NORM",OR('[1]LMP IN MST'!$AB20="MAR",'[1]LMP IN MST'!$AB20="")),'[1]LMP IN PPT'!L22,IF(AND('[1]LMP IN PPT'!$A22='[1]LMP IN MST'!$A20,'[1]LMP IN MST'!$Z20="DST",'[1]LMP IN MST'!$AA20="FB",'[1]LMP IN MST'!$AB20="NOV"),'[1]LMP IN PPT'!M22,IF(AND('[1]LMP IN PPT'!$A22='[1]LMP IN MST'!$A20,'[1]LMP IN MST'!$Z20="ST",'[1]LMP IN MST'!$AA20="NORM",'[1]LMP IN MST'!$AB20="NOV"),'[1]LMP IN PPT'!M22,IF(AND('[1]LMP IN PPT'!$A22='[1]LMP IN MST'!$A20,'[1]LMP IN MST'!$Z20="DST",'[1]LMP IN MST'!$AA20="SF",'[1]LMP IN MST'!$AB20="MAR"),'[1]LMP IN PPT'!M22,IF(AND('[1]LMP IN PPT'!$A22='[1]LMP IN MST'!$A20,'[1]LMP IN MST'!$Z20="DST",'[1]LMP IN MST'!$AA20="NORM",'[1]LMP IN MST'!$AB20="NOV"),'[1]LMP IN PPT'!N22,IF(AND('[1]LMP IN PPT'!$A22='[1]LMP IN MST'!$A20,'[1]LMP IN MST'!$Z20="DST",'[1]LMP IN MST'!$AA20="NORM",OR('[1]LMP IN MST'!$AB20="MAR",'[1]LMP IN MST'!$AB20="")),'[1]LMP IN PPT'!M22,0))))))</f>
        <v>25</v>
      </c>
      <c r="K20">
        <f>IF(AND('[1]LMP IN PPT'!$A22='[1]LMP IN MST'!$A20,'[1]LMP IN MST'!$Z20="ST",'[1]LMP IN MST'!$AA20="NORM",OR('[1]LMP IN MST'!$AB20="MAR",'[1]LMP IN MST'!$AB20="")),'[1]LMP IN PPT'!M22,IF(AND('[1]LMP IN PPT'!$A22='[1]LMP IN MST'!$A20,'[1]LMP IN MST'!$Z20="DST",'[1]LMP IN MST'!$AA20="FB",'[1]LMP IN MST'!$AB20="NOV"),'[1]LMP IN PPT'!N22,IF(AND('[1]LMP IN PPT'!$A22='[1]LMP IN MST'!$A20,'[1]LMP IN MST'!$Z20="ST",'[1]LMP IN MST'!$AA20="NORM",'[1]LMP IN MST'!$AB20="NOV"),'[1]LMP IN PPT'!N22,IF(AND('[1]LMP IN PPT'!$A22='[1]LMP IN MST'!$A20,'[1]LMP IN MST'!$Z20="DST",'[1]LMP IN MST'!$AA20="SF",'[1]LMP IN MST'!$AB20="MAR"),'[1]LMP IN PPT'!N22,IF(AND('[1]LMP IN PPT'!$A22='[1]LMP IN MST'!$A20,'[1]LMP IN MST'!$Z20="DST",'[1]LMP IN MST'!$AA20="NORM",'[1]LMP IN MST'!$AB20="NOV"),'[1]LMP IN PPT'!O22,IF(AND('[1]LMP IN PPT'!$A22='[1]LMP IN MST'!$A20,'[1]LMP IN MST'!$Z20="DST",'[1]LMP IN MST'!$AA20="NORM",OR('[1]LMP IN MST'!$AB20="MAR",'[1]LMP IN MST'!$AB20="")),'[1]LMP IN PPT'!N22,0))))))</f>
        <v>1.2651300000000001</v>
      </c>
      <c r="L20">
        <f>IF(AND('[1]LMP IN PPT'!$A22='[1]LMP IN MST'!$A20,'[1]LMP IN MST'!$Z20="ST",'[1]LMP IN MST'!$AA20="NORM",OR('[1]LMP IN MST'!$AB20="MAR",'[1]LMP IN MST'!$AB20="")),'[1]LMP IN PPT'!N22,IF(AND('[1]LMP IN PPT'!$A22='[1]LMP IN MST'!$A20,'[1]LMP IN MST'!$Z20="DST",'[1]LMP IN MST'!$AA20="FB",'[1]LMP IN MST'!$AB20="NOV"),'[1]LMP IN PPT'!O22,IF(AND('[1]LMP IN PPT'!$A22='[1]LMP IN MST'!$A20,'[1]LMP IN MST'!$Z20="ST",'[1]LMP IN MST'!$AA20="NORM",'[1]LMP IN MST'!$AB20="NOV"),'[1]LMP IN PPT'!O22,IF(AND('[1]LMP IN PPT'!$A22='[1]LMP IN MST'!$A20,'[1]LMP IN MST'!$Z20="DST",'[1]LMP IN MST'!$AA20="SF",'[1]LMP IN MST'!$AB20="MAR"),'[1]LMP IN PPT'!O22,IF(AND('[1]LMP IN PPT'!$A22='[1]LMP IN MST'!$A20,'[1]LMP IN MST'!$Z20="DST",'[1]LMP IN MST'!$AA20="NORM",'[1]LMP IN MST'!$AB20="NOV"),'[1]LMP IN PPT'!P22,IF(AND('[1]LMP IN PPT'!$A22='[1]LMP IN MST'!$A20,'[1]LMP IN MST'!$Z20="DST",'[1]LMP IN MST'!$AA20="NORM",OR('[1]LMP IN MST'!$AB20="MAR",'[1]LMP IN MST'!$AB20="")),'[1]LMP IN PPT'!O22,0))))))</f>
        <v>-5.9828799999999998</v>
      </c>
      <c r="M20">
        <f>IF(AND('[1]LMP IN PPT'!$A22='[1]LMP IN MST'!$A20,'[1]LMP IN MST'!$Z20="ST",'[1]LMP IN MST'!$AA20="NORM",OR('[1]LMP IN MST'!$AB20="MAR",'[1]LMP IN MST'!$AB20="")),'[1]LMP IN PPT'!O22,IF(AND('[1]LMP IN PPT'!$A22='[1]LMP IN MST'!$A20,'[1]LMP IN MST'!$Z20="DST",'[1]LMP IN MST'!$AA20="FB",'[1]LMP IN MST'!$AB20="NOV"),'[1]LMP IN PPT'!P22,IF(AND('[1]LMP IN PPT'!$A22='[1]LMP IN MST'!$A20,'[1]LMP IN MST'!$Z20="ST",'[1]LMP IN MST'!$AA20="NORM",'[1]LMP IN MST'!$AB20="NOV"),'[1]LMP IN PPT'!P22,IF(AND('[1]LMP IN PPT'!$A22='[1]LMP IN MST'!$A20,'[1]LMP IN MST'!$Z20="DST",'[1]LMP IN MST'!$AA20="SF",'[1]LMP IN MST'!$AB20="MAR"),'[1]LMP IN PPT'!P22,IF(AND('[1]LMP IN PPT'!$A22='[1]LMP IN MST'!$A20,'[1]LMP IN MST'!$Z20="DST",'[1]LMP IN MST'!$AA20="NORM",'[1]LMP IN MST'!$AB20="NOV"),'[1]LMP IN PPT'!Q22,IF(AND('[1]LMP IN PPT'!$A22='[1]LMP IN MST'!$A20,'[1]LMP IN MST'!$Z20="DST",'[1]LMP IN MST'!$AA20="NORM",OR('[1]LMP IN MST'!$AB20="MAR",'[1]LMP IN MST'!$AB20="")),'[1]LMP IN PPT'!P22,0))))))</f>
        <v>-9.5891199999999994</v>
      </c>
      <c r="N20">
        <f>IF(AND('[1]LMP IN PPT'!$A22='[1]LMP IN MST'!$A20,'[1]LMP IN MST'!$Z20="ST",'[1]LMP IN MST'!$AA20="NORM",OR('[1]LMP IN MST'!$AB20="MAR",'[1]LMP IN MST'!$AB20="")),'[1]LMP IN PPT'!P22,IF(AND('[1]LMP IN PPT'!$A22='[1]LMP IN MST'!$A20,'[1]LMP IN MST'!$Z20="DST",'[1]LMP IN MST'!$AA20="FB",'[1]LMP IN MST'!$AB20="NOV"),'[1]LMP IN PPT'!Q22,IF(AND('[1]LMP IN PPT'!$A22='[1]LMP IN MST'!$A20,'[1]LMP IN MST'!$Z20="ST",'[1]LMP IN MST'!$AA20="NORM",'[1]LMP IN MST'!$AB20="NOV"),'[1]LMP IN PPT'!Q22,IF(AND('[1]LMP IN PPT'!$A22='[1]LMP IN MST'!$A20,'[1]LMP IN MST'!$Z20="DST",'[1]LMP IN MST'!$AA20="SF",'[1]LMP IN MST'!$AB20="MAR"),'[1]LMP IN PPT'!Q22,IF(AND('[1]LMP IN PPT'!$A22='[1]LMP IN MST'!$A20,'[1]LMP IN MST'!$Z20="DST",'[1]LMP IN MST'!$AA20="NORM",'[1]LMP IN MST'!$AB20="NOV"),'[1]LMP IN PPT'!R22,IF(AND('[1]LMP IN PPT'!$A22='[1]LMP IN MST'!$A20,'[1]LMP IN MST'!$Z20="DST",'[1]LMP IN MST'!$AA20="NORM",OR('[1]LMP IN MST'!$AB20="MAR",'[1]LMP IN MST'!$AB20="")),'[1]LMP IN PPT'!Q22,0))))))</f>
        <v>-11.544750000000001</v>
      </c>
      <c r="O20">
        <f>IF(AND('[1]LMP IN PPT'!$A22='[1]LMP IN MST'!$A20,'[1]LMP IN MST'!$Z20="ST",'[1]LMP IN MST'!$AA20="NORM",OR('[1]LMP IN MST'!$AB20="MAR",'[1]LMP IN MST'!$AB20="")),'[1]LMP IN PPT'!Q22,IF(AND('[1]LMP IN PPT'!$A22='[1]LMP IN MST'!$A20,'[1]LMP IN MST'!$Z20="DST",'[1]LMP IN MST'!$AA20="FB",'[1]LMP IN MST'!$AB20="NOV"),'[1]LMP IN PPT'!R22,IF(AND('[1]LMP IN PPT'!$A22='[1]LMP IN MST'!$A20,'[1]LMP IN MST'!$Z20="ST",'[1]LMP IN MST'!$AA20="NORM",'[1]LMP IN MST'!$AB20="NOV"),'[1]LMP IN PPT'!R22,IF(AND('[1]LMP IN PPT'!$A22='[1]LMP IN MST'!$A20,'[1]LMP IN MST'!$Z20="DST",'[1]LMP IN MST'!$AA20="SF",'[1]LMP IN MST'!$AB20="MAR"),'[1]LMP IN PPT'!R22,IF(AND('[1]LMP IN PPT'!$A22='[1]LMP IN MST'!$A20,'[1]LMP IN MST'!$Z20="DST",'[1]LMP IN MST'!$AA20="NORM",'[1]LMP IN MST'!$AB20="NOV"),'[1]LMP IN PPT'!S22,IF(AND('[1]LMP IN PPT'!$A22='[1]LMP IN MST'!$A20,'[1]LMP IN MST'!$Z20="DST",'[1]LMP IN MST'!$AA20="NORM",OR('[1]LMP IN MST'!$AB20="MAR",'[1]LMP IN MST'!$AB20="")),'[1]LMP IN PPT'!R22,0))))))</f>
        <v>-11.99522</v>
      </c>
      <c r="P20">
        <f>IF(AND('[1]LMP IN PPT'!$A22='[1]LMP IN MST'!$A20,'[1]LMP IN MST'!$Z20="ST",'[1]LMP IN MST'!$AA20="NORM",OR('[1]LMP IN MST'!$AB20="MAR",'[1]LMP IN MST'!$AB20="")),'[1]LMP IN PPT'!R22,IF(AND('[1]LMP IN PPT'!$A22='[1]LMP IN MST'!$A20,'[1]LMP IN MST'!$Z20="DST",'[1]LMP IN MST'!$AA20="FB",'[1]LMP IN MST'!$AB20="NOV"),'[1]LMP IN PPT'!S22,IF(AND('[1]LMP IN PPT'!$A22='[1]LMP IN MST'!$A20,'[1]LMP IN MST'!$Z20="ST",'[1]LMP IN MST'!$AA20="NORM",'[1]LMP IN MST'!$AB20="NOV"),'[1]LMP IN PPT'!S22,IF(AND('[1]LMP IN PPT'!$A22='[1]LMP IN MST'!$A20,'[1]LMP IN MST'!$Z20="DST",'[1]LMP IN MST'!$AA20="SF",'[1]LMP IN MST'!$AB20="MAR"),'[1]LMP IN PPT'!S22,IF(AND('[1]LMP IN PPT'!$A22='[1]LMP IN MST'!$A20,'[1]LMP IN MST'!$Z20="DST",'[1]LMP IN MST'!$AA20="NORM",'[1]LMP IN MST'!$AB20="NOV"),'[1]LMP IN PPT'!T22,IF(AND('[1]LMP IN PPT'!$A22='[1]LMP IN MST'!$A20,'[1]LMP IN MST'!$Z20="DST",'[1]LMP IN MST'!$AA20="NORM",OR('[1]LMP IN MST'!$AB20="MAR",'[1]LMP IN MST'!$AB20="")),'[1]LMP IN PPT'!S22,0))))))</f>
        <v>-11.73845</v>
      </c>
      <c r="Q20">
        <f>IF(AND('[1]LMP IN PPT'!$A22='[1]LMP IN MST'!$A20,'[1]LMP IN MST'!$Z20="ST",'[1]LMP IN MST'!$AA20="NORM",OR('[1]LMP IN MST'!$AB20="MAR",'[1]LMP IN MST'!$AB20="")),'[1]LMP IN PPT'!S22,IF(AND('[1]LMP IN PPT'!$A22='[1]LMP IN MST'!$A20,'[1]LMP IN MST'!$Z20="DST",'[1]LMP IN MST'!$AA20="FB",'[1]LMP IN MST'!$AB20="NOV"),'[1]LMP IN PPT'!T22,IF(AND('[1]LMP IN PPT'!$A22='[1]LMP IN MST'!$A20,'[1]LMP IN MST'!$Z20="ST",'[1]LMP IN MST'!$AA20="NORM",'[1]LMP IN MST'!$AB20="NOV"),'[1]LMP IN PPT'!T22,IF(AND('[1]LMP IN PPT'!$A22='[1]LMP IN MST'!$A20,'[1]LMP IN MST'!$Z20="DST",'[1]LMP IN MST'!$AA20="SF",'[1]LMP IN MST'!$AB20="MAR"),'[1]LMP IN PPT'!T22,IF(AND('[1]LMP IN PPT'!$A22='[1]LMP IN MST'!$A20,'[1]LMP IN MST'!$Z20="DST",'[1]LMP IN MST'!$AA20="NORM",'[1]LMP IN MST'!$AB20="NOV"),'[1]LMP IN PPT'!U22,IF(AND('[1]LMP IN PPT'!$A22='[1]LMP IN MST'!$A20,'[1]LMP IN MST'!$Z20="DST",'[1]LMP IN MST'!$AA20="NORM",OR('[1]LMP IN MST'!$AB20="MAR",'[1]LMP IN MST'!$AB20="")),'[1]LMP IN PPT'!T22,0))))))</f>
        <v>-11.087770000000001</v>
      </c>
      <c r="R20">
        <f>IF(AND('[1]LMP IN PPT'!$A22='[1]LMP IN MST'!$A20,'[1]LMP IN MST'!$Z20="ST",'[1]LMP IN MST'!$AA20="NORM",OR('[1]LMP IN MST'!$AB20="MAR",'[1]LMP IN MST'!$AB20="")),'[1]LMP IN PPT'!T22,IF(AND('[1]LMP IN PPT'!$A22='[1]LMP IN MST'!$A20,'[1]LMP IN MST'!$Z20="DST",'[1]LMP IN MST'!$AA20="FB",'[1]LMP IN MST'!$AB20="NOV"),'[1]LMP IN PPT'!U22,IF(AND('[1]LMP IN PPT'!$A22='[1]LMP IN MST'!$A20,'[1]LMP IN MST'!$Z20="ST",'[1]LMP IN MST'!$AA20="NORM",'[1]LMP IN MST'!$AB20="NOV"),'[1]LMP IN PPT'!U22,IF(AND('[1]LMP IN PPT'!$A22='[1]LMP IN MST'!$A20,'[1]LMP IN MST'!$Z20="DST",'[1]LMP IN MST'!$AA20="SF",'[1]LMP IN MST'!$AB20="MAR"),'[1]LMP IN PPT'!U22,IF(AND('[1]LMP IN PPT'!$A22='[1]LMP IN MST'!$A20,'[1]LMP IN MST'!$Z20="DST",'[1]LMP IN MST'!$AA20="NORM",'[1]LMP IN MST'!$AB20="NOV"),'[1]LMP IN PPT'!V22,IF(AND('[1]LMP IN PPT'!$A22='[1]LMP IN MST'!$A20,'[1]LMP IN MST'!$Z20="DST",'[1]LMP IN MST'!$AA20="NORM",OR('[1]LMP IN MST'!$AB20="MAR",'[1]LMP IN MST'!$AB20="")),'[1]LMP IN PPT'!U22,0))))))</f>
        <v>-1.8092699999999999</v>
      </c>
      <c r="S20">
        <f>IF(AND('[1]LMP IN PPT'!$A22='[1]LMP IN MST'!$A20,'[1]LMP IN MST'!$Z20="ST",'[1]LMP IN MST'!$AA20="NORM",OR('[1]LMP IN MST'!$AB20="MAR",'[1]LMP IN MST'!$AB20="")),'[1]LMP IN PPT'!U22,IF(AND('[1]LMP IN PPT'!$A22='[1]LMP IN MST'!$A20,'[1]LMP IN MST'!$Z20="DST",'[1]LMP IN MST'!$AA20="FB",'[1]LMP IN MST'!$AB20="NOV"),'[1]LMP IN PPT'!V22,IF(AND('[1]LMP IN PPT'!$A22='[1]LMP IN MST'!$A20,'[1]LMP IN MST'!$Z20="ST",'[1]LMP IN MST'!$AA20="NORM",'[1]LMP IN MST'!$AB20="NOV"),'[1]LMP IN PPT'!V22,IF(AND('[1]LMP IN PPT'!$A22='[1]LMP IN MST'!$A20,'[1]LMP IN MST'!$Z20="DST",'[1]LMP IN MST'!$AA20="SF",'[1]LMP IN MST'!$AB20="MAR"),'[1]LMP IN PPT'!V22,IF(AND('[1]LMP IN PPT'!$A22='[1]LMP IN MST'!$A20,'[1]LMP IN MST'!$Z20="DST",'[1]LMP IN MST'!$AA20="NORM",'[1]LMP IN MST'!$AB20="NOV"),'[1]LMP IN PPT'!W22,IF(AND('[1]LMP IN PPT'!$A22='[1]LMP IN MST'!$A20,'[1]LMP IN MST'!$Z20="DST",'[1]LMP IN MST'!$AA20="NORM",OR('[1]LMP IN MST'!$AB20="MAR",'[1]LMP IN MST'!$AB20="")),'[1]LMP IN PPT'!V22,0))))))</f>
        <v>23.000979999999998</v>
      </c>
      <c r="T20">
        <f>IF(AND('[1]LMP IN PPT'!$A22='[1]LMP IN MST'!$A20,'[1]LMP IN MST'!$Z20="ST",'[1]LMP IN MST'!$AA20="NORM",OR('[1]LMP IN MST'!$AB20="MAR",'[1]LMP IN MST'!$AB20="")),'[1]LMP IN PPT'!V22,IF(AND('[1]LMP IN PPT'!$A22='[1]LMP IN MST'!$A20,'[1]LMP IN MST'!$Z20="DST",'[1]LMP IN MST'!$AA20="FB",'[1]LMP IN MST'!$AB20="NOV"),'[1]LMP IN PPT'!W22,IF(AND('[1]LMP IN PPT'!$A22='[1]LMP IN MST'!$A20,'[1]LMP IN MST'!$Z20="ST",'[1]LMP IN MST'!$AA20="NORM",'[1]LMP IN MST'!$AB20="NOV"),'[1]LMP IN PPT'!W22,IF(AND('[1]LMP IN PPT'!$A22='[1]LMP IN MST'!$A20,'[1]LMP IN MST'!$Z20="DST",'[1]LMP IN MST'!$AA20="SF",'[1]LMP IN MST'!$AB20="MAR"),'[1]LMP IN PPT'!W22,IF(AND('[1]LMP IN PPT'!$A22='[1]LMP IN MST'!$A20,'[1]LMP IN MST'!$Z20="DST",'[1]LMP IN MST'!$AA20="NORM",'[1]LMP IN MST'!$AB20="NOV"),'[1]LMP IN PPT'!X22,IF(AND('[1]LMP IN PPT'!$A22='[1]LMP IN MST'!$A20,'[1]LMP IN MST'!$Z20="DST",'[1]LMP IN MST'!$AA20="NORM",OR('[1]LMP IN MST'!$AB20="MAR",'[1]LMP IN MST'!$AB20="")),'[1]LMP IN PPT'!W22,0))))))</f>
        <v>40.601550000000003</v>
      </c>
      <c r="U20">
        <f>IF(AND('[1]LMP IN PPT'!$A22='[1]LMP IN MST'!$A20,'[1]LMP IN MST'!$Z20="ST",'[1]LMP IN MST'!$AA20="NORM",OR('[1]LMP IN MST'!$AB20="MAR",'[1]LMP IN MST'!$AB20="")),'[1]LMP IN PPT'!W22,IF(AND('[1]LMP IN PPT'!$A22='[1]LMP IN MST'!$A20,'[1]LMP IN MST'!$Z20="DST",'[1]LMP IN MST'!$AA20="FB",'[1]LMP IN MST'!$AB20="NOV"),'[1]LMP IN PPT'!X22,IF(AND('[1]LMP IN PPT'!$A22='[1]LMP IN MST'!$A20,'[1]LMP IN MST'!$Z20="ST",'[1]LMP IN MST'!$AA20="NORM",'[1]LMP IN MST'!$AB20="NOV"),'[1]LMP IN PPT'!X22,IF(AND('[1]LMP IN PPT'!$A22='[1]LMP IN MST'!$A20,'[1]LMP IN MST'!$Z20="DST",'[1]LMP IN MST'!$AA20="SF",'[1]LMP IN MST'!$AB20="MAR"),'[1]LMP IN PPT'!X22,IF(AND('[1]LMP IN PPT'!$A22='[1]LMP IN MST'!$A20,'[1]LMP IN MST'!$Z20="DST",'[1]LMP IN MST'!$AA20="NORM",'[1]LMP IN MST'!$AB20="NOV"),'[1]LMP IN PPT'!Y22,IF(AND('[1]LMP IN PPT'!$A22='[1]LMP IN MST'!$A20,'[1]LMP IN MST'!$Z20="DST",'[1]LMP IN MST'!$AA20="NORM",OR('[1]LMP IN MST'!$AB20="MAR",'[1]LMP IN MST'!$AB20="")),'[1]LMP IN PPT'!X22,0))))))</f>
        <v>49.507919999999999</v>
      </c>
      <c r="V20">
        <f>IF(AND('[1]LMP IN PPT'!$A22='[1]LMP IN MST'!$A20,'[1]LMP IN MST'!$Z20="ST",'[1]LMP IN MST'!$AA20="NORM",OR('[1]LMP IN MST'!$AB20="MAR",'[1]LMP IN MST'!$AB20="")),'[1]LMP IN PPT'!X22,IF(AND('[1]LMP IN PPT'!$A22='[1]LMP IN MST'!$A20,'[1]LMP IN MST'!$Z20="DST",'[1]LMP IN MST'!$AA20="FB",'[1]LMP IN MST'!$AB20="NOV"),'[1]LMP IN PPT'!Y22,IF(AND('[1]LMP IN PPT'!$A22='[1]LMP IN MST'!$A20,'[1]LMP IN MST'!$Z20="ST",'[1]LMP IN MST'!$AA20="NORM",'[1]LMP IN MST'!$AB20="NOV"),'[1]LMP IN PPT'!Y22,IF(AND('[1]LMP IN PPT'!$A22='[1]LMP IN MST'!$A20,'[1]LMP IN MST'!$Z20="DST",'[1]LMP IN MST'!$AA20="SF",'[1]LMP IN MST'!$AB20="MAR"),'[1]LMP IN PPT'!Y22,IF(AND('[1]LMP IN PPT'!$A22='[1]LMP IN MST'!$A20,'[1]LMP IN MST'!$Z20="DST",'[1]LMP IN MST'!$AA20="NORM",'[1]LMP IN MST'!$AB20="NOV"),'[1]LMP IN PPT'!Z22,IF(AND('[1]LMP IN PPT'!$A22='[1]LMP IN MST'!$A20,'[1]LMP IN MST'!$Z20="DST",'[1]LMP IN MST'!$AA20="NORM",OR('[1]LMP IN MST'!$AB20="MAR",'[1]LMP IN MST'!$AB20="")),'[1]LMP IN PPT'!Y22,0))))))</f>
        <v>45.463659999999997</v>
      </c>
      <c r="W20">
        <f>IF(AND('[1]LMP IN PPT'!$A22='[1]LMP IN MST'!$A20,'[1]LMP IN MST'!$Z20="ST",'[1]LMP IN MST'!$AA20="NORM",OR('[1]LMP IN MST'!$AB20="MAR",'[1]LMP IN MST'!$AB20="")),'[1]LMP IN PPT'!Y22,IF(AND('[1]LMP IN PPT'!$A22='[1]LMP IN MST'!$A20,'[1]LMP IN MST'!$Z20="DST",'[1]LMP IN MST'!$AA20="FB",'[1]LMP IN MST'!$AB20="NOV"),'[1]LMP IN PPT'!Z22,IF(AND('[1]LMP IN PPT'!$A22='[1]LMP IN MST'!$A20,'[1]LMP IN MST'!$Z20="ST",'[1]LMP IN MST'!$AA20="NORM",'[1]LMP IN MST'!$AB20="NOV"),'[1]LMP IN PPT'!Z22,IF(AND('[1]LMP IN PPT'!$A22='[1]LMP IN MST'!$A20,'[1]LMP IN MST'!$Z20="DST",'[1]LMP IN MST'!$AA20="SF",'[1]LMP IN MST'!$AB20="MAR"),'[1]LMP IN PPT'!Z22,IF(AND('[1]LMP IN PPT'!$A22='[1]LMP IN MST'!$A20,'[1]LMP IN MST'!$Z20="DST",'[1]LMP IN MST'!$AA20="NORM",'[1]LMP IN MST'!$AB20="NOV"),'[1]LMP IN PPT'!AA22,IF(AND('[1]LMP IN PPT'!$A22='[1]LMP IN MST'!$A20,'[1]LMP IN MST'!$Z20="DST",'[1]LMP IN MST'!$AA20="NORM",OR('[1]LMP IN MST'!$AB20="MAR",'[1]LMP IN MST'!$AB20="")),'[1]LMP IN PPT'!Z22,0))))))</f>
        <v>40.797420000000002</v>
      </c>
      <c r="X20">
        <f>IF(AND('[1]LMP IN PPT'!$A22='[1]LMP IN MST'!$A20,'[1]LMP IN MST'!$Z20="ST",'[1]LMP IN MST'!$AA20="NORM",OR('[1]LMP IN MST'!$AB20="MAR",'[1]LMP IN MST'!$AB20="")),'[1]LMP IN PPT'!Z22,IF(AND('[1]LMP IN PPT'!$A22='[1]LMP IN MST'!$A20,'[1]LMP IN MST'!$Z20="DST",'[1]LMP IN MST'!$AA20="FB",'[1]LMP IN MST'!$AB20="NOV"),'[1]LMP IN PPT'!AA22,IF(AND('[1]LMP IN PPT'!$A22='[1]LMP IN MST'!$A20,'[1]LMP IN MST'!$Z20="ST",'[1]LMP IN MST'!$AA20="NORM",'[1]LMP IN MST'!$AB20="NOV"),'[1]LMP IN PPT'!AA22,IF(AND('[1]LMP IN PPT'!$A22='[1]LMP IN MST'!$A20,'[1]LMP IN MST'!$Z20="DST",'[1]LMP IN MST'!$AA20="SF",'[1]LMP IN MST'!$AB20="MAR"),'[1]LMP IN PPT'!AA22,IF(AND('[1]LMP IN PPT'!$A22='[1]LMP IN MST'!$A20,'[1]LMP IN MST'!$Z20="DST",'[1]LMP IN MST'!$AA20="NORM",'[1]LMP IN MST'!$AB20="NOV"),'[1]LMP IN PPT'!AB22,IF(AND('[1]LMP IN PPT'!$A22='[1]LMP IN MST'!$A20,'[1]LMP IN MST'!$Z20="DST",'[1]LMP IN MST'!$AA20="NORM",OR('[1]LMP IN MST'!$AB20="MAR",'[1]LMP IN MST'!$AB20="")),'[1]LMP IN PPT'!AA22,0))))))</f>
        <v>37.100650000000002</v>
      </c>
      <c r="Y20">
        <f>IF(AND('[1]LMP IN PPT'!$A22='[1]LMP IN MST'!$A20,'[1]LMP IN MST'!$Z20="ST",'[1]LMP IN MST'!$AA20="NORM",OR('[1]LMP IN MST'!$AB20="MAR",'[1]LMP IN MST'!$AB20="")),'[1]LMP IN PPT'!AA22,IF(AND('[1]LMP IN PPT'!$A22='[1]LMP IN MST'!$A20,'[1]LMP IN MST'!$Z20="DST",'[1]LMP IN MST'!$AA20="FB",'[1]LMP IN MST'!$AB20="NOV"),'[1]LMP IN PPT'!AB22,IF(AND('[1]LMP IN PPT'!$A22='[1]LMP IN MST'!$A20,'[1]LMP IN MST'!$Z20="ST",'[1]LMP IN MST'!$AA20="NORM",'[1]LMP IN MST'!$AB20="NOV"),'[1]LMP IN PPT'!AB22,IF(AND('[1]LMP IN PPT'!$A22='[1]LMP IN MST'!$A20,'[1]LMP IN MST'!$Z20="DST",'[1]LMP IN MST'!$AA20="SF",'[1]LMP IN MST'!$AB20="MAR"),'[1]LMP IN PPT'!AB22,IF(AND('[1]LMP IN PPT'!$A22='[1]LMP IN MST'!$A20,'[1]LMP IN MST'!$Z20="DST",'[1]LMP IN MST'!$AA20="NORM",'[1]LMP IN MST'!$AB20="NOV"),'[1]LMP IN PPT'!AC22,IF(AND('[1]LMP IN PPT'!$A22='[1]LMP IN MST'!$A20,'[1]LMP IN MST'!$Z20="DST",'[1]LMP IN MST'!$AA20="NORM",OR('[1]LMP IN MST'!$AB20="MAR",'[1]LMP IN MST'!$AB20="")),'[1]LMP IN PPT'!AB22,0))))))</f>
        <v>30.380949999999999</v>
      </c>
    </row>
    <row r="21" spans="1:25" x14ac:dyDescent="0.3">
      <c r="A21" s="1">
        <f t="shared" si="0"/>
        <v>45371</v>
      </c>
      <c r="B21">
        <f>IF(AND('[1]LMP IN PPT'!$A23='[1]LMP IN MST'!$A21,'[1]LMP IN MST'!$Z21="ST",'[1]LMP IN MST'!$AA21="NORM",'[1]LMP IN MST'!$AB21="NOV"),'[1]LMP IN PPT'!AC22,IF(AND('[1]LMP IN PPT'!$A23='[1]LMP IN MST'!$A21,'[1]LMP IN MST'!$Z21="ST",'[1]LMP IN MST'!$AA21="NORM",'[1]LMP IN MST'!$AB21="MAR"),'[1]LMP IN PPT'!AB22,IF(AND('[1]LMP IN PPT'!$A23='[1]LMP IN MST'!$A21,'[1]LMP IN MST'!$Z21="ST",'[1]LMP IN MST'!$AA21="NORM",'[1]LMP IN MST'!$AB21=""),'[1]LMP IN PPT'!AB22,IF(AND('[1]LMP IN PPT'!$A23='[1]LMP IN MST'!$A21,'[1]LMP IN MST'!$Z21="DST",'[1]LMP IN MST'!$AA21="FB",'[1]LMP IN MST'!$AB21="NOV"),'[1]LMP IN PPT'!E23,IF(AND('[1]LMP IN PPT'!$A23='[1]LMP IN MST'!$A21,'[1]LMP IN MST'!$Z21="DST",'[1]LMP IN MST'!$AA21="SF",'[1]LMP IN MST'!$AB21="MAR"),'[1]LMP IN PPT'!AB22,IF(AND('[1]LMP IN PPT'!$A23='[1]LMP IN MST'!$A21,'[1]LMP IN MST'!$Z21="DST",'[1]LMP IN MST'!$AA21="NORM",OR('[1]LMP IN MST'!$AB21="MAR",'[1]LMP IN MST'!$AB21="",'[1]LMP IN MST'!$AB21="NOV")),'[1]LMP IN PPT'!E23,0))))))</f>
        <v>29.38963</v>
      </c>
      <c r="C21">
        <f>IF(AND('[1]LMP IN PPT'!$A23='[1]LMP IN MST'!$A21,'[1]LMP IN MST'!$Z21="ST",'[1]LMP IN MST'!$AA21="NORM",OR('[1]LMP IN MST'!$AB21="NOV",'[1]LMP IN MST'!$AB21="MAR",'[1]LMP IN MST'!$AB21="")),'[1]LMP IN PPT'!E23,IF(AND('[1]LMP IN PPT'!$A23='[1]LMP IN MST'!$A21,'[1]LMP IN MST'!$Z21="DST",'[1]LMP IN MST'!$AA21="FB",'[1]LMP IN MST'!$AB21="NOV"),'[1]LMP IN PPT'!F23,IF(AND('[1]LMP IN PPT'!$A23='[1]LMP IN MST'!$A21,'[1]LMP IN MST'!$Z21="DST",'[1]LMP IN MST'!$AA21="SF",'[1]LMP IN MST'!$AB21="MAR"),'[1]LMP IN PPT'!E23,IF(AND('[1]LMP IN PPT'!$A23='[1]LMP IN MST'!$A21,'[1]LMP IN MST'!$Z21="DST",'[1]LMP IN MST'!$AA21="NORM",OR('[1]LMP IN MST'!$AB21="MAR",'[1]LMP IN MST'!$AB21="",'[1]LMP IN MST'!$AB21="NOV")),'[1]LMP IN PPT'!F23,0))))</f>
        <v>28.929490000000001</v>
      </c>
      <c r="D21">
        <f>IF(AND('[1]LMP IN PPT'!$A23='[1]LMP IN MST'!$A21,'[1]LMP IN MST'!$Z21="ST",'[1]LMP IN MST'!$AA21="NORM",OR('[1]LMP IN MST'!$AB21="NOV",'[1]LMP IN MST'!$AB21="MAR",'[1]LMP IN MST'!$AB21="")),'[1]LMP IN PPT'!F23,IF(AND('[1]LMP IN PPT'!$A23='[1]LMP IN MST'!$A21,'[1]LMP IN MST'!$Z21="DST",'[1]LMP IN MST'!$AA21="FB",'[1]LMP IN MST'!$AB21="NOV"),'[1]LMP IN PPT'!G23,IF(AND('[1]LMP IN PPT'!$A23='[1]LMP IN MST'!$A21,'[1]LMP IN MST'!$Z21="DST",'[1]LMP IN MST'!$AA21="SF",'[1]LMP IN MST'!$AB21="MAR"),'[1]LMP IN PPT'!F23,IF(AND('[1]LMP IN PPT'!$A23='[1]LMP IN MST'!$A21,'[1]LMP IN MST'!$Z21="DST",'[1]LMP IN MST'!$AA21="NORM",'[1]LMP IN MST'!$AB21="NOV"),'[1]LMP IN PPT'!H23,IF(AND('[1]LMP IN PPT'!$A23='[1]LMP IN MST'!$A21,'[1]LMP IN MST'!$Z21="DST",'[1]LMP IN MST'!$AA21="NORM",OR('[1]LMP IN MST'!$AB21="MAR",'[1]LMP IN MST'!$AB21="")),'[1]LMP IN PPT'!G23,0)))))</f>
        <v>28.455690000000001</v>
      </c>
      <c r="E21">
        <f>IF(AND('[1]LMP IN PPT'!$A23='[1]LMP IN MST'!$A21,'[1]LMP IN MST'!$Z21="ST",'[1]LMP IN MST'!$AA21="NORM",OR('[1]LMP IN MST'!$AB21="MAR",'[1]LMP IN MST'!$AB21="")),'[1]LMP IN PPT'!G23,IF(AND('[1]LMP IN PPT'!$A23='[1]LMP IN MST'!$A21,'[1]LMP IN MST'!$Z21="DST",'[1]LMP IN MST'!$AA21="FB",'[1]LMP IN MST'!$AB21="NOV"),'[1]LMP IN PPT'!H23,IF(AND('[1]LMP IN PPT'!$A23='[1]LMP IN MST'!$A21,'[1]LMP IN MST'!$Z21="ST",'[1]LMP IN MST'!$AA21="NORM",'[1]LMP IN MST'!$AB21="NOV"),'[1]LMP IN PPT'!H23,IF(AND('[1]LMP IN PPT'!$A23='[1]LMP IN MST'!$A21,'[1]LMP IN MST'!$Z21="DST",'[1]LMP IN MST'!$AA21="SF",'[1]LMP IN MST'!$AB21="MAR"),'[1]LMP IN PPT'!H23,IF(AND('[1]LMP IN PPT'!$A23='[1]LMP IN MST'!$A21,'[1]LMP IN MST'!$Z21="DST",'[1]LMP IN MST'!$AA21="NORM",'[1]LMP IN MST'!$AB21="NOV"),'[1]LMP IN PPT'!I23,IF(AND('[1]LMP IN PPT'!$A23='[1]LMP IN MST'!$A21,'[1]LMP IN MST'!$Z21="DST",'[1]LMP IN MST'!$AA21="NORM",OR('[1]LMP IN MST'!$AB21="MAR",'[1]LMP IN MST'!$AB21="")),'[1]LMP IN PPT'!H23,0))))))</f>
        <v>28.186610000000002</v>
      </c>
      <c r="F21">
        <f>IF(AND('[1]LMP IN PPT'!$A23='[1]LMP IN MST'!$A21,'[1]LMP IN MST'!$Z21="ST",'[1]LMP IN MST'!$AA21="NORM",OR('[1]LMP IN MST'!$AB21="MAR",'[1]LMP IN MST'!$AB21="")),'[1]LMP IN PPT'!H23,IF(AND('[1]LMP IN PPT'!$A23='[1]LMP IN MST'!$A21,'[1]LMP IN MST'!$Z21="DST",'[1]LMP IN MST'!$AA21="FB",'[1]LMP IN MST'!$AB21="NOV"),'[1]LMP IN PPT'!I23,IF(AND('[1]LMP IN PPT'!$A23='[1]LMP IN MST'!$A21,'[1]LMP IN MST'!$Z21="ST",'[1]LMP IN MST'!$AA21="NORM",'[1]LMP IN MST'!$AB21="NOV"),'[1]LMP IN PPT'!I23,IF(AND('[1]LMP IN PPT'!$A23='[1]LMP IN MST'!$A21,'[1]LMP IN MST'!$Z21="DST",'[1]LMP IN MST'!$AA21="SF",'[1]LMP IN MST'!$AB21="MAR"),'[1]LMP IN PPT'!I23,IF(AND('[1]LMP IN PPT'!$A23='[1]LMP IN MST'!$A21,'[1]LMP IN MST'!$Z21="DST",'[1]LMP IN MST'!$AA21="NORM",'[1]LMP IN MST'!$AB21="NOV"),'[1]LMP IN PPT'!J23,IF(AND('[1]LMP IN PPT'!$A23='[1]LMP IN MST'!$A21,'[1]LMP IN MST'!$Z21="DST",'[1]LMP IN MST'!$AA21="NORM",OR('[1]LMP IN MST'!$AB21="MAR",'[1]LMP IN MST'!$AB21="")),'[1]LMP IN PPT'!I23,0))))))</f>
        <v>28.95317</v>
      </c>
      <c r="G21">
        <f>IF(AND('[1]LMP IN PPT'!$A23='[1]LMP IN MST'!$A21,'[1]LMP IN MST'!$Z21="ST",'[1]LMP IN MST'!$AA21="NORM",OR('[1]LMP IN MST'!$AB21="MAR",'[1]LMP IN MST'!$AB21="")),'[1]LMP IN PPT'!I23,IF(AND('[1]LMP IN PPT'!$A23='[1]LMP IN MST'!$A21,'[1]LMP IN MST'!$Z21="DST",'[1]LMP IN MST'!$AA21="FB",'[1]LMP IN MST'!$AB21="NOV"),'[1]LMP IN PPT'!J23,IF(AND('[1]LMP IN PPT'!$A23='[1]LMP IN MST'!$A21,'[1]LMP IN MST'!$Z21="ST",'[1]LMP IN MST'!$AA21="NORM",'[1]LMP IN MST'!$AB21="NOV"),'[1]LMP IN PPT'!J23,IF(AND('[1]LMP IN PPT'!$A23='[1]LMP IN MST'!$A21,'[1]LMP IN MST'!$Z21="DST",'[1]LMP IN MST'!$AA21="SF",'[1]LMP IN MST'!$AB21="MAR"),'[1]LMP IN PPT'!J23,IF(AND('[1]LMP IN PPT'!$A23='[1]LMP IN MST'!$A21,'[1]LMP IN MST'!$Z21="DST",'[1]LMP IN MST'!$AA21="NORM",'[1]LMP IN MST'!$AB21="NOV"),'[1]LMP IN PPT'!K23,IF(AND('[1]LMP IN PPT'!$A23='[1]LMP IN MST'!$A21,'[1]LMP IN MST'!$Z21="DST",'[1]LMP IN MST'!$AA21="NORM",OR('[1]LMP IN MST'!$AB21="MAR",'[1]LMP IN MST'!$AB21="")),'[1]LMP IN PPT'!J23,0))))))</f>
        <v>33.234789999999997</v>
      </c>
      <c r="H21">
        <f>IF(AND('[1]LMP IN PPT'!$A23='[1]LMP IN MST'!$A21,'[1]LMP IN MST'!$Z21="ST",'[1]LMP IN MST'!$AA21="NORM",OR('[1]LMP IN MST'!$AB21="MAR",'[1]LMP IN MST'!$AB21="")),'[1]LMP IN PPT'!J23,IF(AND('[1]LMP IN PPT'!$A23='[1]LMP IN MST'!$A21,'[1]LMP IN MST'!$Z21="DST",'[1]LMP IN MST'!$AA21="FB",'[1]LMP IN MST'!$AB21="NOV"),'[1]LMP IN PPT'!K23,IF(AND('[1]LMP IN PPT'!$A23='[1]LMP IN MST'!$A21,'[1]LMP IN MST'!$Z21="ST",'[1]LMP IN MST'!$AA21="NORM",'[1]LMP IN MST'!$AB21="NOV"),'[1]LMP IN PPT'!K23,IF(AND('[1]LMP IN PPT'!$A23='[1]LMP IN MST'!$A21,'[1]LMP IN MST'!$Z21="DST",'[1]LMP IN MST'!$AA21="SF",'[1]LMP IN MST'!$AB21="MAR"),'[1]LMP IN PPT'!K23,IF(AND('[1]LMP IN PPT'!$A23='[1]LMP IN MST'!$A21,'[1]LMP IN MST'!$Z21="DST",'[1]LMP IN MST'!$AA21="NORM",'[1]LMP IN MST'!$AB21="NOV"),'[1]LMP IN PPT'!L23,IF(AND('[1]LMP IN PPT'!$A23='[1]LMP IN MST'!$A21,'[1]LMP IN MST'!$Z21="DST",'[1]LMP IN MST'!$AA21="NORM",OR('[1]LMP IN MST'!$AB21="MAR",'[1]LMP IN MST'!$AB21="")),'[1]LMP IN PPT'!K23,0))))))</f>
        <v>41.307929999999999</v>
      </c>
      <c r="I21">
        <f>IF(AND('[1]LMP IN PPT'!$A23='[1]LMP IN MST'!$A21,'[1]LMP IN MST'!$Z21="ST",'[1]LMP IN MST'!$AA21="NORM",OR('[1]LMP IN MST'!$AB21="MAR",'[1]LMP IN MST'!$AB21="")),'[1]LMP IN PPT'!K23,IF(AND('[1]LMP IN PPT'!$A23='[1]LMP IN MST'!$A21,'[1]LMP IN MST'!$Z21="DST",'[1]LMP IN MST'!$AA21="FB",'[1]LMP IN MST'!$AB21="NOV"),'[1]LMP IN PPT'!L23,IF(AND('[1]LMP IN PPT'!$A23='[1]LMP IN MST'!$A21,'[1]LMP IN MST'!$Z21="ST",'[1]LMP IN MST'!$AA21="NORM",'[1]LMP IN MST'!$AB21="NOV"),'[1]LMP IN PPT'!L23,IF(AND('[1]LMP IN PPT'!$A23='[1]LMP IN MST'!$A21,'[1]LMP IN MST'!$Z21="DST",'[1]LMP IN MST'!$AA21="SF",'[1]LMP IN MST'!$AB21="MAR"),'[1]LMP IN PPT'!L23,IF(AND('[1]LMP IN PPT'!$A23='[1]LMP IN MST'!$A21,'[1]LMP IN MST'!$Z21="DST",'[1]LMP IN MST'!$AA21="NORM",'[1]LMP IN MST'!$AB21="NOV"),'[1]LMP IN PPT'!M23,IF(AND('[1]LMP IN PPT'!$A23='[1]LMP IN MST'!$A21,'[1]LMP IN MST'!$Z21="DST",'[1]LMP IN MST'!$AA21="NORM",OR('[1]LMP IN MST'!$AB21="MAR",'[1]LMP IN MST'!$AB21="")),'[1]LMP IN PPT'!L23,0))))))</f>
        <v>36.547849999999997</v>
      </c>
      <c r="J21">
        <f>IF(AND('[1]LMP IN PPT'!$A23='[1]LMP IN MST'!$A21,'[1]LMP IN MST'!$Z21="ST",'[1]LMP IN MST'!$AA21="NORM",OR('[1]LMP IN MST'!$AB21="MAR",'[1]LMP IN MST'!$AB21="")),'[1]LMP IN PPT'!L23,IF(AND('[1]LMP IN PPT'!$A23='[1]LMP IN MST'!$A21,'[1]LMP IN MST'!$Z21="DST",'[1]LMP IN MST'!$AA21="FB",'[1]LMP IN MST'!$AB21="NOV"),'[1]LMP IN PPT'!M23,IF(AND('[1]LMP IN PPT'!$A23='[1]LMP IN MST'!$A21,'[1]LMP IN MST'!$Z21="ST",'[1]LMP IN MST'!$AA21="NORM",'[1]LMP IN MST'!$AB21="NOV"),'[1]LMP IN PPT'!M23,IF(AND('[1]LMP IN PPT'!$A23='[1]LMP IN MST'!$A21,'[1]LMP IN MST'!$Z21="DST",'[1]LMP IN MST'!$AA21="SF",'[1]LMP IN MST'!$AB21="MAR"),'[1]LMP IN PPT'!M23,IF(AND('[1]LMP IN PPT'!$A23='[1]LMP IN MST'!$A21,'[1]LMP IN MST'!$Z21="DST",'[1]LMP IN MST'!$AA21="NORM",'[1]LMP IN MST'!$AB21="NOV"),'[1]LMP IN PPT'!N23,IF(AND('[1]LMP IN PPT'!$A23='[1]LMP IN MST'!$A21,'[1]LMP IN MST'!$Z21="DST",'[1]LMP IN MST'!$AA21="NORM",OR('[1]LMP IN MST'!$AB21="MAR",'[1]LMP IN MST'!$AB21="")),'[1]LMP IN PPT'!M23,0))))))</f>
        <v>3.73963</v>
      </c>
      <c r="K21">
        <f>IF(AND('[1]LMP IN PPT'!$A23='[1]LMP IN MST'!$A21,'[1]LMP IN MST'!$Z21="ST",'[1]LMP IN MST'!$AA21="NORM",OR('[1]LMP IN MST'!$AB21="MAR",'[1]LMP IN MST'!$AB21="")),'[1]LMP IN PPT'!M23,IF(AND('[1]LMP IN PPT'!$A23='[1]LMP IN MST'!$A21,'[1]LMP IN MST'!$Z21="DST",'[1]LMP IN MST'!$AA21="FB",'[1]LMP IN MST'!$AB21="NOV"),'[1]LMP IN PPT'!N23,IF(AND('[1]LMP IN PPT'!$A23='[1]LMP IN MST'!$A21,'[1]LMP IN MST'!$Z21="ST",'[1]LMP IN MST'!$AA21="NORM",'[1]LMP IN MST'!$AB21="NOV"),'[1]LMP IN PPT'!N23,IF(AND('[1]LMP IN PPT'!$A23='[1]LMP IN MST'!$A21,'[1]LMP IN MST'!$Z21="DST",'[1]LMP IN MST'!$AA21="SF",'[1]LMP IN MST'!$AB21="MAR"),'[1]LMP IN PPT'!N23,IF(AND('[1]LMP IN PPT'!$A23='[1]LMP IN MST'!$A21,'[1]LMP IN MST'!$Z21="DST",'[1]LMP IN MST'!$AA21="NORM",'[1]LMP IN MST'!$AB21="NOV"),'[1]LMP IN PPT'!O23,IF(AND('[1]LMP IN PPT'!$A23='[1]LMP IN MST'!$A21,'[1]LMP IN MST'!$Z21="DST",'[1]LMP IN MST'!$AA21="NORM",OR('[1]LMP IN MST'!$AB21="MAR",'[1]LMP IN MST'!$AB21="")),'[1]LMP IN PPT'!N23,0))))))</f>
        <v>-14.1419</v>
      </c>
      <c r="L21">
        <f>IF(AND('[1]LMP IN PPT'!$A23='[1]LMP IN MST'!$A21,'[1]LMP IN MST'!$Z21="ST",'[1]LMP IN MST'!$AA21="NORM",OR('[1]LMP IN MST'!$AB21="MAR",'[1]LMP IN MST'!$AB21="")),'[1]LMP IN PPT'!N23,IF(AND('[1]LMP IN PPT'!$A23='[1]LMP IN MST'!$A21,'[1]LMP IN MST'!$Z21="DST",'[1]LMP IN MST'!$AA21="FB",'[1]LMP IN MST'!$AB21="NOV"),'[1]LMP IN PPT'!O23,IF(AND('[1]LMP IN PPT'!$A23='[1]LMP IN MST'!$A21,'[1]LMP IN MST'!$Z21="ST",'[1]LMP IN MST'!$AA21="NORM",'[1]LMP IN MST'!$AB21="NOV"),'[1]LMP IN PPT'!O23,IF(AND('[1]LMP IN PPT'!$A23='[1]LMP IN MST'!$A21,'[1]LMP IN MST'!$Z21="DST",'[1]LMP IN MST'!$AA21="SF",'[1]LMP IN MST'!$AB21="MAR"),'[1]LMP IN PPT'!O23,IF(AND('[1]LMP IN PPT'!$A23='[1]LMP IN MST'!$A21,'[1]LMP IN MST'!$Z21="DST",'[1]LMP IN MST'!$AA21="NORM",'[1]LMP IN MST'!$AB21="NOV"),'[1]LMP IN PPT'!P23,IF(AND('[1]LMP IN PPT'!$A23='[1]LMP IN MST'!$A21,'[1]LMP IN MST'!$Z21="DST",'[1]LMP IN MST'!$AA21="NORM",OR('[1]LMP IN MST'!$AB21="MAR",'[1]LMP IN MST'!$AB21="")),'[1]LMP IN PPT'!O23,0))))))</f>
        <v>-22.822710000000001</v>
      </c>
      <c r="M21">
        <f>IF(AND('[1]LMP IN PPT'!$A23='[1]LMP IN MST'!$A21,'[1]LMP IN MST'!$Z21="ST",'[1]LMP IN MST'!$AA21="NORM",OR('[1]LMP IN MST'!$AB21="MAR",'[1]LMP IN MST'!$AB21="")),'[1]LMP IN PPT'!O23,IF(AND('[1]LMP IN PPT'!$A23='[1]LMP IN MST'!$A21,'[1]LMP IN MST'!$Z21="DST",'[1]LMP IN MST'!$AA21="FB",'[1]LMP IN MST'!$AB21="NOV"),'[1]LMP IN PPT'!P23,IF(AND('[1]LMP IN PPT'!$A23='[1]LMP IN MST'!$A21,'[1]LMP IN MST'!$Z21="ST",'[1]LMP IN MST'!$AA21="NORM",'[1]LMP IN MST'!$AB21="NOV"),'[1]LMP IN PPT'!P23,IF(AND('[1]LMP IN PPT'!$A23='[1]LMP IN MST'!$A21,'[1]LMP IN MST'!$Z21="DST",'[1]LMP IN MST'!$AA21="SF",'[1]LMP IN MST'!$AB21="MAR"),'[1]LMP IN PPT'!P23,IF(AND('[1]LMP IN PPT'!$A23='[1]LMP IN MST'!$A21,'[1]LMP IN MST'!$Z21="DST",'[1]LMP IN MST'!$AA21="NORM",'[1]LMP IN MST'!$AB21="NOV"),'[1]LMP IN PPT'!Q23,IF(AND('[1]LMP IN PPT'!$A23='[1]LMP IN MST'!$A21,'[1]LMP IN MST'!$Z21="DST",'[1]LMP IN MST'!$AA21="NORM",OR('[1]LMP IN MST'!$AB21="MAR",'[1]LMP IN MST'!$AB21="")),'[1]LMP IN PPT'!P23,0))))))</f>
        <v>-27.21987</v>
      </c>
      <c r="N21">
        <f>IF(AND('[1]LMP IN PPT'!$A23='[1]LMP IN MST'!$A21,'[1]LMP IN MST'!$Z21="ST",'[1]LMP IN MST'!$AA21="NORM",OR('[1]LMP IN MST'!$AB21="MAR",'[1]LMP IN MST'!$AB21="")),'[1]LMP IN PPT'!P23,IF(AND('[1]LMP IN PPT'!$A23='[1]LMP IN MST'!$A21,'[1]LMP IN MST'!$Z21="DST",'[1]LMP IN MST'!$AA21="FB",'[1]LMP IN MST'!$AB21="NOV"),'[1]LMP IN PPT'!Q23,IF(AND('[1]LMP IN PPT'!$A23='[1]LMP IN MST'!$A21,'[1]LMP IN MST'!$Z21="ST",'[1]LMP IN MST'!$AA21="NORM",'[1]LMP IN MST'!$AB21="NOV"),'[1]LMP IN PPT'!Q23,IF(AND('[1]LMP IN PPT'!$A23='[1]LMP IN MST'!$A21,'[1]LMP IN MST'!$Z21="DST",'[1]LMP IN MST'!$AA21="SF",'[1]LMP IN MST'!$AB21="MAR"),'[1]LMP IN PPT'!Q23,IF(AND('[1]LMP IN PPT'!$A23='[1]LMP IN MST'!$A21,'[1]LMP IN MST'!$Z21="DST",'[1]LMP IN MST'!$AA21="NORM",'[1]LMP IN MST'!$AB21="NOV"),'[1]LMP IN PPT'!R23,IF(AND('[1]LMP IN PPT'!$A23='[1]LMP IN MST'!$A21,'[1]LMP IN MST'!$Z21="DST",'[1]LMP IN MST'!$AA21="NORM",OR('[1]LMP IN MST'!$AB21="MAR",'[1]LMP IN MST'!$AB21="")),'[1]LMP IN PPT'!Q23,0))))))</f>
        <v>-28.12567</v>
      </c>
      <c r="O21">
        <f>IF(AND('[1]LMP IN PPT'!$A23='[1]LMP IN MST'!$A21,'[1]LMP IN MST'!$Z21="ST",'[1]LMP IN MST'!$AA21="NORM",OR('[1]LMP IN MST'!$AB21="MAR",'[1]LMP IN MST'!$AB21="")),'[1]LMP IN PPT'!Q23,IF(AND('[1]LMP IN PPT'!$A23='[1]LMP IN MST'!$A21,'[1]LMP IN MST'!$Z21="DST",'[1]LMP IN MST'!$AA21="FB",'[1]LMP IN MST'!$AB21="NOV"),'[1]LMP IN PPT'!R23,IF(AND('[1]LMP IN PPT'!$A23='[1]LMP IN MST'!$A21,'[1]LMP IN MST'!$Z21="ST",'[1]LMP IN MST'!$AA21="NORM",'[1]LMP IN MST'!$AB21="NOV"),'[1]LMP IN PPT'!R23,IF(AND('[1]LMP IN PPT'!$A23='[1]LMP IN MST'!$A21,'[1]LMP IN MST'!$Z21="DST",'[1]LMP IN MST'!$AA21="SF",'[1]LMP IN MST'!$AB21="MAR"),'[1]LMP IN PPT'!R23,IF(AND('[1]LMP IN PPT'!$A23='[1]LMP IN MST'!$A21,'[1]LMP IN MST'!$Z21="DST",'[1]LMP IN MST'!$AA21="NORM",'[1]LMP IN MST'!$AB21="NOV"),'[1]LMP IN PPT'!S23,IF(AND('[1]LMP IN PPT'!$A23='[1]LMP IN MST'!$A21,'[1]LMP IN MST'!$Z21="DST",'[1]LMP IN MST'!$AA21="NORM",OR('[1]LMP IN MST'!$AB21="MAR",'[1]LMP IN MST'!$AB21="")),'[1]LMP IN PPT'!R23,0))))))</f>
        <v>-28.7606</v>
      </c>
      <c r="P21">
        <f>IF(AND('[1]LMP IN PPT'!$A23='[1]LMP IN MST'!$A21,'[1]LMP IN MST'!$Z21="ST",'[1]LMP IN MST'!$AA21="NORM",OR('[1]LMP IN MST'!$AB21="MAR",'[1]LMP IN MST'!$AB21="")),'[1]LMP IN PPT'!R23,IF(AND('[1]LMP IN PPT'!$A23='[1]LMP IN MST'!$A21,'[1]LMP IN MST'!$Z21="DST",'[1]LMP IN MST'!$AA21="FB",'[1]LMP IN MST'!$AB21="NOV"),'[1]LMP IN PPT'!S23,IF(AND('[1]LMP IN PPT'!$A23='[1]LMP IN MST'!$A21,'[1]LMP IN MST'!$Z21="ST",'[1]LMP IN MST'!$AA21="NORM",'[1]LMP IN MST'!$AB21="NOV"),'[1]LMP IN PPT'!S23,IF(AND('[1]LMP IN PPT'!$A23='[1]LMP IN MST'!$A21,'[1]LMP IN MST'!$Z21="DST",'[1]LMP IN MST'!$AA21="SF",'[1]LMP IN MST'!$AB21="MAR"),'[1]LMP IN PPT'!S23,IF(AND('[1]LMP IN PPT'!$A23='[1]LMP IN MST'!$A21,'[1]LMP IN MST'!$Z21="DST",'[1]LMP IN MST'!$AA21="NORM",'[1]LMP IN MST'!$AB21="NOV"),'[1]LMP IN PPT'!T23,IF(AND('[1]LMP IN PPT'!$A23='[1]LMP IN MST'!$A21,'[1]LMP IN MST'!$Z21="DST",'[1]LMP IN MST'!$AA21="NORM",OR('[1]LMP IN MST'!$AB21="MAR",'[1]LMP IN MST'!$AB21="")),'[1]LMP IN PPT'!S23,0))))))</f>
        <v>-24.347380000000001</v>
      </c>
      <c r="Q21">
        <f>IF(AND('[1]LMP IN PPT'!$A23='[1]LMP IN MST'!$A21,'[1]LMP IN MST'!$Z21="ST",'[1]LMP IN MST'!$AA21="NORM",OR('[1]LMP IN MST'!$AB21="MAR",'[1]LMP IN MST'!$AB21="")),'[1]LMP IN PPT'!S23,IF(AND('[1]LMP IN PPT'!$A23='[1]LMP IN MST'!$A21,'[1]LMP IN MST'!$Z21="DST",'[1]LMP IN MST'!$AA21="FB",'[1]LMP IN MST'!$AB21="NOV"),'[1]LMP IN PPT'!T23,IF(AND('[1]LMP IN PPT'!$A23='[1]LMP IN MST'!$A21,'[1]LMP IN MST'!$Z21="ST",'[1]LMP IN MST'!$AA21="NORM",'[1]LMP IN MST'!$AB21="NOV"),'[1]LMP IN PPT'!T23,IF(AND('[1]LMP IN PPT'!$A23='[1]LMP IN MST'!$A21,'[1]LMP IN MST'!$Z21="DST",'[1]LMP IN MST'!$AA21="SF",'[1]LMP IN MST'!$AB21="MAR"),'[1]LMP IN PPT'!T23,IF(AND('[1]LMP IN PPT'!$A23='[1]LMP IN MST'!$A21,'[1]LMP IN MST'!$Z21="DST",'[1]LMP IN MST'!$AA21="NORM",'[1]LMP IN MST'!$AB21="NOV"),'[1]LMP IN PPT'!U23,IF(AND('[1]LMP IN PPT'!$A23='[1]LMP IN MST'!$A21,'[1]LMP IN MST'!$Z21="DST",'[1]LMP IN MST'!$AA21="NORM",OR('[1]LMP IN MST'!$AB21="MAR",'[1]LMP IN MST'!$AB21="")),'[1]LMP IN PPT'!T23,0))))))</f>
        <v>-24.423220000000001</v>
      </c>
      <c r="R21">
        <f>IF(AND('[1]LMP IN PPT'!$A23='[1]LMP IN MST'!$A21,'[1]LMP IN MST'!$Z21="ST",'[1]LMP IN MST'!$AA21="NORM",OR('[1]LMP IN MST'!$AB21="MAR",'[1]LMP IN MST'!$AB21="")),'[1]LMP IN PPT'!T23,IF(AND('[1]LMP IN PPT'!$A23='[1]LMP IN MST'!$A21,'[1]LMP IN MST'!$Z21="DST",'[1]LMP IN MST'!$AA21="FB",'[1]LMP IN MST'!$AB21="NOV"),'[1]LMP IN PPT'!U23,IF(AND('[1]LMP IN PPT'!$A23='[1]LMP IN MST'!$A21,'[1]LMP IN MST'!$Z21="ST",'[1]LMP IN MST'!$AA21="NORM",'[1]LMP IN MST'!$AB21="NOV"),'[1]LMP IN PPT'!U23,IF(AND('[1]LMP IN PPT'!$A23='[1]LMP IN MST'!$A21,'[1]LMP IN MST'!$Z21="DST",'[1]LMP IN MST'!$AA21="SF",'[1]LMP IN MST'!$AB21="MAR"),'[1]LMP IN PPT'!U23,IF(AND('[1]LMP IN PPT'!$A23='[1]LMP IN MST'!$A21,'[1]LMP IN MST'!$Z21="DST",'[1]LMP IN MST'!$AA21="NORM",'[1]LMP IN MST'!$AB21="NOV"),'[1]LMP IN PPT'!V23,IF(AND('[1]LMP IN PPT'!$A23='[1]LMP IN MST'!$A21,'[1]LMP IN MST'!$Z21="DST",'[1]LMP IN MST'!$AA21="NORM",OR('[1]LMP IN MST'!$AB21="MAR",'[1]LMP IN MST'!$AB21="")),'[1]LMP IN PPT'!U23,0))))))</f>
        <v>-15.63903</v>
      </c>
      <c r="S21">
        <f>IF(AND('[1]LMP IN PPT'!$A23='[1]LMP IN MST'!$A21,'[1]LMP IN MST'!$Z21="ST",'[1]LMP IN MST'!$AA21="NORM",OR('[1]LMP IN MST'!$AB21="MAR",'[1]LMP IN MST'!$AB21="")),'[1]LMP IN PPT'!U23,IF(AND('[1]LMP IN PPT'!$A23='[1]LMP IN MST'!$A21,'[1]LMP IN MST'!$Z21="DST",'[1]LMP IN MST'!$AA21="FB",'[1]LMP IN MST'!$AB21="NOV"),'[1]LMP IN PPT'!V23,IF(AND('[1]LMP IN PPT'!$A23='[1]LMP IN MST'!$A21,'[1]LMP IN MST'!$Z21="ST",'[1]LMP IN MST'!$AA21="NORM",'[1]LMP IN MST'!$AB21="NOV"),'[1]LMP IN PPT'!V23,IF(AND('[1]LMP IN PPT'!$A23='[1]LMP IN MST'!$A21,'[1]LMP IN MST'!$Z21="DST",'[1]LMP IN MST'!$AA21="SF",'[1]LMP IN MST'!$AB21="MAR"),'[1]LMP IN PPT'!V23,IF(AND('[1]LMP IN PPT'!$A23='[1]LMP IN MST'!$A21,'[1]LMP IN MST'!$Z21="DST",'[1]LMP IN MST'!$AA21="NORM",'[1]LMP IN MST'!$AB21="NOV"),'[1]LMP IN PPT'!W23,IF(AND('[1]LMP IN PPT'!$A23='[1]LMP IN MST'!$A21,'[1]LMP IN MST'!$Z21="DST",'[1]LMP IN MST'!$AA21="NORM",OR('[1]LMP IN MST'!$AB21="MAR",'[1]LMP IN MST'!$AB21="")),'[1]LMP IN PPT'!V23,0))))))</f>
        <v>8.7050900000000002</v>
      </c>
      <c r="T21">
        <f>IF(AND('[1]LMP IN PPT'!$A23='[1]LMP IN MST'!$A21,'[1]LMP IN MST'!$Z21="ST",'[1]LMP IN MST'!$AA21="NORM",OR('[1]LMP IN MST'!$AB21="MAR",'[1]LMP IN MST'!$AB21="")),'[1]LMP IN PPT'!V23,IF(AND('[1]LMP IN PPT'!$A23='[1]LMP IN MST'!$A21,'[1]LMP IN MST'!$Z21="DST",'[1]LMP IN MST'!$AA21="FB",'[1]LMP IN MST'!$AB21="NOV"),'[1]LMP IN PPT'!W23,IF(AND('[1]LMP IN PPT'!$A23='[1]LMP IN MST'!$A21,'[1]LMP IN MST'!$Z21="ST",'[1]LMP IN MST'!$AA21="NORM",'[1]LMP IN MST'!$AB21="NOV"),'[1]LMP IN PPT'!W23,IF(AND('[1]LMP IN PPT'!$A23='[1]LMP IN MST'!$A21,'[1]LMP IN MST'!$Z21="DST",'[1]LMP IN MST'!$AA21="SF",'[1]LMP IN MST'!$AB21="MAR"),'[1]LMP IN PPT'!W23,IF(AND('[1]LMP IN PPT'!$A23='[1]LMP IN MST'!$A21,'[1]LMP IN MST'!$Z21="DST",'[1]LMP IN MST'!$AA21="NORM",'[1]LMP IN MST'!$AB21="NOV"),'[1]LMP IN PPT'!X23,IF(AND('[1]LMP IN PPT'!$A23='[1]LMP IN MST'!$A21,'[1]LMP IN MST'!$Z21="DST",'[1]LMP IN MST'!$AA21="NORM",OR('[1]LMP IN MST'!$AB21="MAR",'[1]LMP IN MST'!$AB21="")),'[1]LMP IN PPT'!W23,0))))))</f>
        <v>35.068339999999999</v>
      </c>
      <c r="U21">
        <f>IF(AND('[1]LMP IN PPT'!$A23='[1]LMP IN MST'!$A21,'[1]LMP IN MST'!$Z21="ST",'[1]LMP IN MST'!$AA21="NORM",OR('[1]LMP IN MST'!$AB21="MAR",'[1]LMP IN MST'!$AB21="")),'[1]LMP IN PPT'!W23,IF(AND('[1]LMP IN PPT'!$A23='[1]LMP IN MST'!$A21,'[1]LMP IN MST'!$Z21="DST",'[1]LMP IN MST'!$AA21="FB",'[1]LMP IN MST'!$AB21="NOV"),'[1]LMP IN PPT'!X23,IF(AND('[1]LMP IN PPT'!$A23='[1]LMP IN MST'!$A21,'[1]LMP IN MST'!$Z21="ST",'[1]LMP IN MST'!$AA21="NORM",'[1]LMP IN MST'!$AB21="NOV"),'[1]LMP IN PPT'!X23,IF(AND('[1]LMP IN PPT'!$A23='[1]LMP IN MST'!$A21,'[1]LMP IN MST'!$Z21="DST",'[1]LMP IN MST'!$AA21="SF",'[1]LMP IN MST'!$AB21="MAR"),'[1]LMP IN PPT'!X23,IF(AND('[1]LMP IN PPT'!$A23='[1]LMP IN MST'!$A21,'[1]LMP IN MST'!$Z21="DST",'[1]LMP IN MST'!$AA21="NORM",'[1]LMP IN MST'!$AB21="NOV"),'[1]LMP IN PPT'!Y23,IF(AND('[1]LMP IN PPT'!$A23='[1]LMP IN MST'!$A21,'[1]LMP IN MST'!$Z21="DST",'[1]LMP IN MST'!$AA21="NORM",OR('[1]LMP IN MST'!$AB21="MAR",'[1]LMP IN MST'!$AB21="")),'[1]LMP IN PPT'!X23,0))))))</f>
        <v>42.520449999999997</v>
      </c>
      <c r="V21">
        <f>IF(AND('[1]LMP IN PPT'!$A23='[1]LMP IN MST'!$A21,'[1]LMP IN MST'!$Z21="ST",'[1]LMP IN MST'!$AA21="NORM",OR('[1]LMP IN MST'!$AB21="MAR",'[1]LMP IN MST'!$AB21="")),'[1]LMP IN PPT'!X23,IF(AND('[1]LMP IN PPT'!$A23='[1]LMP IN MST'!$A21,'[1]LMP IN MST'!$Z21="DST",'[1]LMP IN MST'!$AA21="FB",'[1]LMP IN MST'!$AB21="NOV"),'[1]LMP IN PPT'!Y23,IF(AND('[1]LMP IN PPT'!$A23='[1]LMP IN MST'!$A21,'[1]LMP IN MST'!$Z21="ST",'[1]LMP IN MST'!$AA21="NORM",'[1]LMP IN MST'!$AB21="NOV"),'[1]LMP IN PPT'!Y23,IF(AND('[1]LMP IN PPT'!$A23='[1]LMP IN MST'!$A21,'[1]LMP IN MST'!$Z21="DST",'[1]LMP IN MST'!$AA21="SF",'[1]LMP IN MST'!$AB21="MAR"),'[1]LMP IN PPT'!Y23,IF(AND('[1]LMP IN PPT'!$A23='[1]LMP IN MST'!$A21,'[1]LMP IN MST'!$Z21="DST",'[1]LMP IN MST'!$AA21="NORM",'[1]LMP IN MST'!$AB21="NOV"),'[1]LMP IN PPT'!Z23,IF(AND('[1]LMP IN PPT'!$A23='[1]LMP IN MST'!$A21,'[1]LMP IN MST'!$Z21="DST",'[1]LMP IN MST'!$AA21="NORM",OR('[1]LMP IN MST'!$AB21="MAR",'[1]LMP IN MST'!$AB21="")),'[1]LMP IN PPT'!Y23,0))))))</f>
        <v>37.503689999999999</v>
      </c>
      <c r="W21">
        <f>IF(AND('[1]LMP IN PPT'!$A23='[1]LMP IN MST'!$A21,'[1]LMP IN MST'!$Z21="ST",'[1]LMP IN MST'!$AA21="NORM",OR('[1]LMP IN MST'!$AB21="MAR",'[1]LMP IN MST'!$AB21="")),'[1]LMP IN PPT'!Y23,IF(AND('[1]LMP IN PPT'!$A23='[1]LMP IN MST'!$A21,'[1]LMP IN MST'!$Z21="DST",'[1]LMP IN MST'!$AA21="FB",'[1]LMP IN MST'!$AB21="NOV"),'[1]LMP IN PPT'!Z23,IF(AND('[1]LMP IN PPT'!$A23='[1]LMP IN MST'!$A21,'[1]LMP IN MST'!$Z21="ST",'[1]LMP IN MST'!$AA21="NORM",'[1]LMP IN MST'!$AB21="NOV"),'[1]LMP IN PPT'!Z23,IF(AND('[1]LMP IN PPT'!$A23='[1]LMP IN MST'!$A21,'[1]LMP IN MST'!$Z21="DST",'[1]LMP IN MST'!$AA21="SF",'[1]LMP IN MST'!$AB21="MAR"),'[1]LMP IN PPT'!Z23,IF(AND('[1]LMP IN PPT'!$A23='[1]LMP IN MST'!$A21,'[1]LMP IN MST'!$Z21="DST",'[1]LMP IN MST'!$AA21="NORM",'[1]LMP IN MST'!$AB21="NOV"),'[1]LMP IN PPT'!AA23,IF(AND('[1]LMP IN PPT'!$A23='[1]LMP IN MST'!$A21,'[1]LMP IN MST'!$Z21="DST",'[1]LMP IN MST'!$AA21="NORM",OR('[1]LMP IN MST'!$AB21="MAR",'[1]LMP IN MST'!$AB21="")),'[1]LMP IN PPT'!Z23,0))))))</f>
        <v>37.461539999999999</v>
      </c>
      <c r="X21">
        <f>IF(AND('[1]LMP IN PPT'!$A23='[1]LMP IN MST'!$A21,'[1]LMP IN MST'!$Z21="ST",'[1]LMP IN MST'!$AA21="NORM",OR('[1]LMP IN MST'!$AB21="MAR",'[1]LMP IN MST'!$AB21="")),'[1]LMP IN PPT'!Z23,IF(AND('[1]LMP IN PPT'!$A23='[1]LMP IN MST'!$A21,'[1]LMP IN MST'!$Z21="DST",'[1]LMP IN MST'!$AA21="FB",'[1]LMP IN MST'!$AB21="NOV"),'[1]LMP IN PPT'!AA23,IF(AND('[1]LMP IN PPT'!$A23='[1]LMP IN MST'!$A21,'[1]LMP IN MST'!$Z21="ST",'[1]LMP IN MST'!$AA21="NORM",'[1]LMP IN MST'!$AB21="NOV"),'[1]LMP IN PPT'!AA23,IF(AND('[1]LMP IN PPT'!$A23='[1]LMP IN MST'!$A21,'[1]LMP IN MST'!$Z21="DST",'[1]LMP IN MST'!$AA21="SF",'[1]LMP IN MST'!$AB21="MAR"),'[1]LMP IN PPT'!AA23,IF(AND('[1]LMP IN PPT'!$A23='[1]LMP IN MST'!$A21,'[1]LMP IN MST'!$Z21="DST",'[1]LMP IN MST'!$AA21="NORM",'[1]LMP IN MST'!$AB21="NOV"),'[1]LMP IN PPT'!AB23,IF(AND('[1]LMP IN PPT'!$A23='[1]LMP IN MST'!$A21,'[1]LMP IN MST'!$Z21="DST",'[1]LMP IN MST'!$AA21="NORM",OR('[1]LMP IN MST'!$AB21="MAR",'[1]LMP IN MST'!$AB21="")),'[1]LMP IN PPT'!AA23,0))))))</f>
        <v>34.372120000000002</v>
      </c>
      <c r="Y21">
        <f>IF(AND('[1]LMP IN PPT'!$A23='[1]LMP IN MST'!$A21,'[1]LMP IN MST'!$Z21="ST",'[1]LMP IN MST'!$AA21="NORM",OR('[1]LMP IN MST'!$AB21="MAR",'[1]LMP IN MST'!$AB21="")),'[1]LMP IN PPT'!AA23,IF(AND('[1]LMP IN PPT'!$A23='[1]LMP IN MST'!$A21,'[1]LMP IN MST'!$Z21="DST",'[1]LMP IN MST'!$AA21="FB",'[1]LMP IN MST'!$AB21="NOV"),'[1]LMP IN PPT'!AB23,IF(AND('[1]LMP IN PPT'!$A23='[1]LMP IN MST'!$A21,'[1]LMP IN MST'!$Z21="ST",'[1]LMP IN MST'!$AA21="NORM",'[1]LMP IN MST'!$AB21="NOV"),'[1]LMP IN PPT'!AB23,IF(AND('[1]LMP IN PPT'!$A23='[1]LMP IN MST'!$A21,'[1]LMP IN MST'!$Z21="DST",'[1]LMP IN MST'!$AA21="SF",'[1]LMP IN MST'!$AB21="MAR"),'[1]LMP IN PPT'!AB23,IF(AND('[1]LMP IN PPT'!$A23='[1]LMP IN MST'!$A21,'[1]LMP IN MST'!$Z21="DST",'[1]LMP IN MST'!$AA21="NORM",'[1]LMP IN MST'!$AB21="NOV"),'[1]LMP IN PPT'!AC23,IF(AND('[1]LMP IN PPT'!$A23='[1]LMP IN MST'!$A21,'[1]LMP IN MST'!$Z21="DST",'[1]LMP IN MST'!$AA21="NORM",OR('[1]LMP IN MST'!$AB21="MAR",'[1]LMP IN MST'!$AB21="")),'[1]LMP IN PPT'!AB23,0))))))</f>
        <v>31.28078</v>
      </c>
    </row>
    <row r="22" spans="1:25" x14ac:dyDescent="0.3">
      <c r="A22" s="1">
        <f t="shared" si="0"/>
        <v>45372</v>
      </c>
      <c r="B22">
        <f>IF(AND('[1]LMP IN PPT'!$A24='[1]LMP IN MST'!$A22,'[1]LMP IN MST'!$Z22="ST",'[1]LMP IN MST'!$AA22="NORM",'[1]LMP IN MST'!$AB22="NOV"),'[1]LMP IN PPT'!AC23,IF(AND('[1]LMP IN PPT'!$A24='[1]LMP IN MST'!$A22,'[1]LMP IN MST'!$Z22="ST",'[1]LMP IN MST'!$AA22="NORM",'[1]LMP IN MST'!$AB22="MAR"),'[1]LMP IN PPT'!AB23,IF(AND('[1]LMP IN PPT'!$A24='[1]LMP IN MST'!$A22,'[1]LMP IN MST'!$Z22="ST",'[1]LMP IN MST'!$AA22="NORM",'[1]LMP IN MST'!$AB22=""),'[1]LMP IN PPT'!AB23,IF(AND('[1]LMP IN PPT'!$A24='[1]LMP IN MST'!$A22,'[1]LMP IN MST'!$Z22="DST",'[1]LMP IN MST'!$AA22="FB",'[1]LMP IN MST'!$AB22="NOV"),'[1]LMP IN PPT'!E24,IF(AND('[1]LMP IN PPT'!$A24='[1]LMP IN MST'!$A22,'[1]LMP IN MST'!$Z22="DST",'[1]LMP IN MST'!$AA22="SF",'[1]LMP IN MST'!$AB22="MAR"),'[1]LMP IN PPT'!AB23,IF(AND('[1]LMP IN PPT'!$A24='[1]LMP IN MST'!$A22,'[1]LMP IN MST'!$Z22="DST",'[1]LMP IN MST'!$AA22="NORM",OR('[1]LMP IN MST'!$AB22="MAR",'[1]LMP IN MST'!$AB22="",'[1]LMP IN MST'!$AB22="NOV")),'[1]LMP IN PPT'!E24,0))))))</f>
        <v>25.305330000000001</v>
      </c>
      <c r="C22">
        <f>IF(AND('[1]LMP IN PPT'!$A24='[1]LMP IN MST'!$A22,'[1]LMP IN MST'!$Z22="ST",'[1]LMP IN MST'!$AA22="NORM",OR('[1]LMP IN MST'!$AB22="NOV",'[1]LMP IN MST'!$AB22="MAR",'[1]LMP IN MST'!$AB22="")),'[1]LMP IN PPT'!E24,IF(AND('[1]LMP IN PPT'!$A24='[1]LMP IN MST'!$A22,'[1]LMP IN MST'!$Z22="DST",'[1]LMP IN MST'!$AA22="FB",'[1]LMP IN MST'!$AB22="NOV"),'[1]LMP IN PPT'!F24,IF(AND('[1]LMP IN PPT'!$A24='[1]LMP IN MST'!$A22,'[1]LMP IN MST'!$Z22="DST",'[1]LMP IN MST'!$AA22="SF",'[1]LMP IN MST'!$AB22="MAR"),'[1]LMP IN PPT'!E24,IF(AND('[1]LMP IN PPT'!$A24='[1]LMP IN MST'!$A22,'[1]LMP IN MST'!$Z22="DST",'[1]LMP IN MST'!$AA22="NORM",OR('[1]LMP IN MST'!$AB22="MAR",'[1]LMP IN MST'!$AB22="",'[1]LMP IN MST'!$AB22="NOV")),'[1]LMP IN PPT'!F24,0))))</f>
        <v>25.117100000000001</v>
      </c>
      <c r="D22">
        <f>IF(AND('[1]LMP IN PPT'!$A24='[1]LMP IN MST'!$A22,'[1]LMP IN MST'!$Z22="ST",'[1]LMP IN MST'!$AA22="NORM",OR('[1]LMP IN MST'!$AB22="NOV",'[1]LMP IN MST'!$AB22="MAR",'[1]LMP IN MST'!$AB22="")),'[1]LMP IN PPT'!F24,IF(AND('[1]LMP IN PPT'!$A24='[1]LMP IN MST'!$A22,'[1]LMP IN MST'!$Z22="DST",'[1]LMP IN MST'!$AA22="FB",'[1]LMP IN MST'!$AB22="NOV"),'[1]LMP IN PPT'!G24,IF(AND('[1]LMP IN PPT'!$A24='[1]LMP IN MST'!$A22,'[1]LMP IN MST'!$Z22="DST",'[1]LMP IN MST'!$AA22="SF",'[1]LMP IN MST'!$AB22="MAR"),'[1]LMP IN PPT'!F24,IF(AND('[1]LMP IN PPT'!$A24='[1]LMP IN MST'!$A22,'[1]LMP IN MST'!$Z22="DST",'[1]LMP IN MST'!$AA22="NORM",'[1]LMP IN MST'!$AB22="NOV"),'[1]LMP IN PPT'!H24,IF(AND('[1]LMP IN PPT'!$A24='[1]LMP IN MST'!$A22,'[1]LMP IN MST'!$Z22="DST",'[1]LMP IN MST'!$AA22="NORM",OR('[1]LMP IN MST'!$AB22="MAR",'[1]LMP IN MST'!$AB22="")),'[1]LMP IN PPT'!G24,0)))))</f>
        <v>25.070029999999999</v>
      </c>
      <c r="E22">
        <f>IF(AND('[1]LMP IN PPT'!$A24='[1]LMP IN MST'!$A22,'[1]LMP IN MST'!$Z22="ST",'[1]LMP IN MST'!$AA22="NORM",OR('[1]LMP IN MST'!$AB22="MAR",'[1]LMP IN MST'!$AB22="")),'[1]LMP IN PPT'!G24,IF(AND('[1]LMP IN PPT'!$A24='[1]LMP IN MST'!$A22,'[1]LMP IN MST'!$Z22="DST",'[1]LMP IN MST'!$AA22="FB",'[1]LMP IN MST'!$AB22="NOV"),'[1]LMP IN PPT'!H24,IF(AND('[1]LMP IN PPT'!$A24='[1]LMP IN MST'!$A22,'[1]LMP IN MST'!$Z22="ST",'[1]LMP IN MST'!$AA22="NORM",'[1]LMP IN MST'!$AB22="NOV"),'[1]LMP IN PPT'!H24,IF(AND('[1]LMP IN PPT'!$A24='[1]LMP IN MST'!$A22,'[1]LMP IN MST'!$Z22="DST",'[1]LMP IN MST'!$AA22="SF",'[1]LMP IN MST'!$AB22="MAR"),'[1]LMP IN PPT'!H24,IF(AND('[1]LMP IN PPT'!$A24='[1]LMP IN MST'!$A22,'[1]LMP IN MST'!$Z22="DST",'[1]LMP IN MST'!$AA22="NORM",'[1]LMP IN MST'!$AB22="NOV"),'[1]LMP IN PPT'!I24,IF(AND('[1]LMP IN PPT'!$A24='[1]LMP IN MST'!$A22,'[1]LMP IN MST'!$Z22="DST",'[1]LMP IN MST'!$AA22="NORM",OR('[1]LMP IN MST'!$AB22="MAR",'[1]LMP IN MST'!$AB22="")),'[1]LMP IN PPT'!H24,0))))))</f>
        <v>25.009620000000002</v>
      </c>
      <c r="F22">
        <f>IF(AND('[1]LMP IN PPT'!$A24='[1]LMP IN MST'!$A22,'[1]LMP IN MST'!$Z22="ST",'[1]LMP IN MST'!$AA22="NORM",OR('[1]LMP IN MST'!$AB22="MAR",'[1]LMP IN MST'!$AB22="")),'[1]LMP IN PPT'!H24,IF(AND('[1]LMP IN PPT'!$A24='[1]LMP IN MST'!$A22,'[1]LMP IN MST'!$Z22="DST",'[1]LMP IN MST'!$AA22="FB",'[1]LMP IN MST'!$AB22="NOV"),'[1]LMP IN PPT'!I24,IF(AND('[1]LMP IN PPT'!$A24='[1]LMP IN MST'!$A22,'[1]LMP IN MST'!$Z22="ST",'[1]LMP IN MST'!$AA22="NORM",'[1]LMP IN MST'!$AB22="NOV"),'[1]LMP IN PPT'!I24,IF(AND('[1]LMP IN PPT'!$A24='[1]LMP IN MST'!$A22,'[1]LMP IN MST'!$Z22="DST",'[1]LMP IN MST'!$AA22="SF",'[1]LMP IN MST'!$AB22="MAR"),'[1]LMP IN PPT'!I24,IF(AND('[1]LMP IN PPT'!$A24='[1]LMP IN MST'!$A22,'[1]LMP IN MST'!$Z22="DST",'[1]LMP IN MST'!$AA22="NORM",'[1]LMP IN MST'!$AB22="NOV"),'[1]LMP IN PPT'!J24,IF(AND('[1]LMP IN PPT'!$A24='[1]LMP IN MST'!$A22,'[1]LMP IN MST'!$Z22="DST",'[1]LMP IN MST'!$AA22="NORM",OR('[1]LMP IN MST'!$AB22="MAR",'[1]LMP IN MST'!$AB22="")),'[1]LMP IN PPT'!I24,0))))))</f>
        <v>28.70176</v>
      </c>
      <c r="G22">
        <f>IF(AND('[1]LMP IN PPT'!$A24='[1]LMP IN MST'!$A22,'[1]LMP IN MST'!$Z22="ST",'[1]LMP IN MST'!$AA22="NORM",OR('[1]LMP IN MST'!$AB22="MAR",'[1]LMP IN MST'!$AB22="")),'[1]LMP IN PPT'!I24,IF(AND('[1]LMP IN PPT'!$A24='[1]LMP IN MST'!$A22,'[1]LMP IN MST'!$Z22="DST",'[1]LMP IN MST'!$AA22="FB",'[1]LMP IN MST'!$AB22="NOV"),'[1]LMP IN PPT'!J24,IF(AND('[1]LMP IN PPT'!$A24='[1]LMP IN MST'!$A22,'[1]LMP IN MST'!$Z22="ST",'[1]LMP IN MST'!$AA22="NORM",'[1]LMP IN MST'!$AB22="NOV"),'[1]LMP IN PPT'!J24,IF(AND('[1]LMP IN PPT'!$A24='[1]LMP IN MST'!$A22,'[1]LMP IN MST'!$Z22="DST",'[1]LMP IN MST'!$AA22="SF",'[1]LMP IN MST'!$AB22="MAR"),'[1]LMP IN PPT'!J24,IF(AND('[1]LMP IN PPT'!$A24='[1]LMP IN MST'!$A22,'[1]LMP IN MST'!$Z22="DST",'[1]LMP IN MST'!$AA22="NORM",'[1]LMP IN MST'!$AB22="NOV"),'[1]LMP IN PPT'!K24,IF(AND('[1]LMP IN PPT'!$A24='[1]LMP IN MST'!$A22,'[1]LMP IN MST'!$Z22="DST",'[1]LMP IN MST'!$AA22="NORM",OR('[1]LMP IN MST'!$AB22="MAR",'[1]LMP IN MST'!$AB22="")),'[1]LMP IN PPT'!J24,0))))))</f>
        <v>35.1768</v>
      </c>
      <c r="H22">
        <f>IF(AND('[1]LMP IN PPT'!$A24='[1]LMP IN MST'!$A22,'[1]LMP IN MST'!$Z22="ST",'[1]LMP IN MST'!$AA22="NORM",OR('[1]LMP IN MST'!$AB22="MAR",'[1]LMP IN MST'!$AB22="")),'[1]LMP IN PPT'!J24,IF(AND('[1]LMP IN PPT'!$A24='[1]LMP IN MST'!$A22,'[1]LMP IN MST'!$Z22="DST",'[1]LMP IN MST'!$AA22="FB",'[1]LMP IN MST'!$AB22="NOV"),'[1]LMP IN PPT'!K24,IF(AND('[1]LMP IN PPT'!$A24='[1]LMP IN MST'!$A22,'[1]LMP IN MST'!$Z22="ST",'[1]LMP IN MST'!$AA22="NORM",'[1]LMP IN MST'!$AB22="NOV"),'[1]LMP IN PPT'!K24,IF(AND('[1]LMP IN PPT'!$A24='[1]LMP IN MST'!$A22,'[1]LMP IN MST'!$Z22="DST",'[1]LMP IN MST'!$AA22="SF",'[1]LMP IN MST'!$AB22="MAR"),'[1]LMP IN PPT'!K24,IF(AND('[1]LMP IN PPT'!$A24='[1]LMP IN MST'!$A22,'[1]LMP IN MST'!$Z22="DST",'[1]LMP IN MST'!$AA22="NORM",'[1]LMP IN MST'!$AB22="NOV"),'[1]LMP IN PPT'!L24,IF(AND('[1]LMP IN PPT'!$A24='[1]LMP IN MST'!$A22,'[1]LMP IN MST'!$Z22="DST",'[1]LMP IN MST'!$AA22="NORM",OR('[1]LMP IN MST'!$AB22="MAR",'[1]LMP IN MST'!$AB22="")),'[1]LMP IN PPT'!K24,0))))))</f>
        <v>46.192929999999997</v>
      </c>
      <c r="I22">
        <f>IF(AND('[1]LMP IN PPT'!$A24='[1]LMP IN MST'!$A22,'[1]LMP IN MST'!$Z22="ST",'[1]LMP IN MST'!$AA22="NORM",OR('[1]LMP IN MST'!$AB22="MAR",'[1]LMP IN MST'!$AB22="")),'[1]LMP IN PPT'!K24,IF(AND('[1]LMP IN PPT'!$A24='[1]LMP IN MST'!$A22,'[1]LMP IN MST'!$Z22="DST",'[1]LMP IN MST'!$AA22="FB",'[1]LMP IN MST'!$AB22="NOV"),'[1]LMP IN PPT'!L24,IF(AND('[1]LMP IN PPT'!$A24='[1]LMP IN MST'!$A22,'[1]LMP IN MST'!$Z22="ST",'[1]LMP IN MST'!$AA22="NORM",'[1]LMP IN MST'!$AB22="NOV"),'[1]LMP IN PPT'!L24,IF(AND('[1]LMP IN PPT'!$A24='[1]LMP IN MST'!$A22,'[1]LMP IN MST'!$Z22="DST",'[1]LMP IN MST'!$AA22="SF",'[1]LMP IN MST'!$AB22="MAR"),'[1]LMP IN PPT'!L24,IF(AND('[1]LMP IN PPT'!$A24='[1]LMP IN MST'!$A22,'[1]LMP IN MST'!$Z22="DST",'[1]LMP IN MST'!$AA22="NORM",'[1]LMP IN MST'!$AB22="NOV"),'[1]LMP IN PPT'!M24,IF(AND('[1]LMP IN PPT'!$A24='[1]LMP IN MST'!$A22,'[1]LMP IN MST'!$Z22="DST",'[1]LMP IN MST'!$AA22="NORM",OR('[1]LMP IN MST'!$AB22="MAR",'[1]LMP IN MST'!$AB22="")),'[1]LMP IN PPT'!L24,0))))))</f>
        <v>39.441389999999998</v>
      </c>
      <c r="J22">
        <f>IF(AND('[1]LMP IN PPT'!$A24='[1]LMP IN MST'!$A22,'[1]LMP IN MST'!$Z22="ST",'[1]LMP IN MST'!$AA22="NORM",OR('[1]LMP IN MST'!$AB22="MAR",'[1]LMP IN MST'!$AB22="")),'[1]LMP IN PPT'!L24,IF(AND('[1]LMP IN PPT'!$A24='[1]LMP IN MST'!$A22,'[1]LMP IN MST'!$Z22="DST",'[1]LMP IN MST'!$AA22="FB",'[1]LMP IN MST'!$AB22="NOV"),'[1]LMP IN PPT'!M24,IF(AND('[1]LMP IN PPT'!$A24='[1]LMP IN MST'!$A22,'[1]LMP IN MST'!$Z22="ST",'[1]LMP IN MST'!$AA22="NORM",'[1]LMP IN MST'!$AB22="NOV"),'[1]LMP IN PPT'!M24,IF(AND('[1]LMP IN PPT'!$A24='[1]LMP IN MST'!$A22,'[1]LMP IN MST'!$Z22="DST",'[1]LMP IN MST'!$AA22="SF",'[1]LMP IN MST'!$AB22="MAR"),'[1]LMP IN PPT'!M24,IF(AND('[1]LMP IN PPT'!$A24='[1]LMP IN MST'!$A22,'[1]LMP IN MST'!$Z22="DST",'[1]LMP IN MST'!$AA22="NORM",'[1]LMP IN MST'!$AB22="NOV"),'[1]LMP IN PPT'!N24,IF(AND('[1]LMP IN PPT'!$A24='[1]LMP IN MST'!$A22,'[1]LMP IN MST'!$Z22="DST",'[1]LMP IN MST'!$AA22="NORM",OR('[1]LMP IN MST'!$AB22="MAR",'[1]LMP IN MST'!$AB22="")),'[1]LMP IN PPT'!M24,0))))))</f>
        <v>1.30348</v>
      </c>
      <c r="K22">
        <f>IF(AND('[1]LMP IN PPT'!$A24='[1]LMP IN MST'!$A22,'[1]LMP IN MST'!$Z22="ST",'[1]LMP IN MST'!$AA22="NORM",OR('[1]LMP IN MST'!$AB22="MAR",'[1]LMP IN MST'!$AB22="")),'[1]LMP IN PPT'!M24,IF(AND('[1]LMP IN PPT'!$A24='[1]LMP IN MST'!$A22,'[1]LMP IN MST'!$Z22="DST",'[1]LMP IN MST'!$AA22="FB",'[1]LMP IN MST'!$AB22="NOV"),'[1]LMP IN PPT'!N24,IF(AND('[1]LMP IN PPT'!$A24='[1]LMP IN MST'!$A22,'[1]LMP IN MST'!$Z22="ST",'[1]LMP IN MST'!$AA22="NORM",'[1]LMP IN MST'!$AB22="NOV"),'[1]LMP IN PPT'!N24,IF(AND('[1]LMP IN PPT'!$A24='[1]LMP IN MST'!$A22,'[1]LMP IN MST'!$Z22="DST",'[1]LMP IN MST'!$AA22="SF",'[1]LMP IN MST'!$AB22="MAR"),'[1]LMP IN PPT'!N24,IF(AND('[1]LMP IN PPT'!$A24='[1]LMP IN MST'!$A22,'[1]LMP IN MST'!$Z22="DST",'[1]LMP IN MST'!$AA22="NORM",'[1]LMP IN MST'!$AB22="NOV"),'[1]LMP IN PPT'!O24,IF(AND('[1]LMP IN PPT'!$A24='[1]LMP IN MST'!$A22,'[1]LMP IN MST'!$Z22="DST",'[1]LMP IN MST'!$AA22="NORM",OR('[1]LMP IN MST'!$AB22="MAR",'[1]LMP IN MST'!$AB22="")),'[1]LMP IN PPT'!N24,0))))))</f>
        <v>-22.360410000000002</v>
      </c>
      <c r="L22">
        <f>IF(AND('[1]LMP IN PPT'!$A24='[1]LMP IN MST'!$A22,'[1]LMP IN MST'!$Z22="ST",'[1]LMP IN MST'!$AA22="NORM",OR('[1]LMP IN MST'!$AB22="MAR",'[1]LMP IN MST'!$AB22="")),'[1]LMP IN PPT'!N24,IF(AND('[1]LMP IN PPT'!$A24='[1]LMP IN MST'!$A22,'[1]LMP IN MST'!$Z22="DST",'[1]LMP IN MST'!$AA22="FB",'[1]LMP IN MST'!$AB22="NOV"),'[1]LMP IN PPT'!O24,IF(AND('[1]LMP IN PPT'!$A24='[1]LMP IN MST'!$A22,'[1]LMP IN MST'!$Z22="ST",'[1]LMP IN MST'!$AA22="NORM",'[1]LMP IN MST'!$AB22="NOV"),'[1]LMP IN PPT'!O24,IF(AND('[1]LMP IN PPT'!$A24='[1]LMP IN MST'!$A22,'[1]LMP IN MST'!$Z22="DST",'[1]LMP IN MST'!$AA22="SF",'[1]LMP IN MST'!$AB22="MAR"),'[1]LMP IN PPT'!O24,IF(AND('[1]LMP IN PPT'!$A24='[1]LMP IN MST'!$A22,'[1]LMP IN MST'!$Z22="DST",'[1]LMP IN MST'!$AA22="NORM",'[1]LMP IN MST'!$AB22="NOV"),'[1]LMP IN PPT'!P24,IF(AND('[1]LMP IN PPT'!$A24='[1]LMP IN MST'!$A22,'[1]LMP IN MST'!$Z22="DST",'[1]LMP IN MST'!$AA22="NORM",OR('[1]LMP IN MST'!$AB22="MAR",'[1]LMP IN MST'!$AB22="")),'[1]LMP IN PPT'!O24,0))))))</f>
        <v>-27.920829999999999</v>
      </c>
      <c r="M22">
        <f>IF(AND('[1]LMP IN PPT'!$A24='[1]LMP IN MST'!$A22,'[1]LMP IN MST'!$Z22="ST",'[1]LMP IN MST'!$AA22="NORM",OR('[1]LMP IN MST'!$AB22="MAR",'[1]LMP IN MST'!$AB22="")),'[1]LMP IN PPT'!O24,IF(AND('[1]LMP IN PPT'!$A24='[1]LMP IN MST'!$A22,'[1]LMP IN MST'!$Z22="DST",'[1]LMP IN MST'!$AA22="FB",'[1]LMP IN MST'!$AB22="NOV"),'[1]LMP IN PPT'!P24,IF(AND('[1]LMP IN PPT'!$A24='[1]LMP IN MST'!$A22,'[1]LMP IN MST'!$Z22="ST",'[1]LMP IN MST'!$AA22="NORM",'[1]LMP IN MST'!$AB22="NOV"),'[1]LMP IN PPT'!P24,IF(AND('[1]LMP IN PPT'!$A24='[1]LMP IN MST'!$A22,'[1]LMP IN MST'!$Z22="DST",'[1]LMP IN MST'!$AA22="SF",'[1]LMP IN MST'!$AB22="MAR"),'[1]LMP IN PPT'!P24,IF(AND('[1]LMP IN PPT'!$A24='[1]LMP IN MST'!$A22,'[1]LMP IN MST'!$Z22="DST",'[1]LMP IN MST'!$AA22="NORM",'[1]LMP IN MST'!$AB22="NOV"),'[1]LMP IN PPT'!Q24,IF(AND('[1]LMP IN PPT'!$A24='[1]LMP IN MST'!$A22,'[1]LMP IN MST'!$Z22="DST",'[1]LMP IN MST'!$AA22="NORM",OR('[1]LMP IN MST'!$AB22="MAR",'[1]LMP IN MST'!$AB22="")),'[1]LMP IN PPT'!P24,0))))))</f>
        <v>-30.92022</v>
      </c>
      <c r="N22">
        <f>IF(AND('[1]LMP IN PPT'!$A24='[1]LMP IN MST'!$A22,'[1]LMP IN MST'!$Z22="ST",'[1]LMP IN MST'!$AA22="NORM",OR('[1]LMP IN MST'!$AB22="MAR",'[1]LMP IN MST'!$AB22="")),'[1]LMP IN PPT'!P24,IF(AND('[1]LMP IN PPT'!$A24='[1]LMP IN MST'!$A22,'[1]LMP IN MST'!$Z22="DST",'[1]LMP IN MST'!$AA22="FB",'[1]LMP IN MST'!$AB22="NOV"),'[1]LMP IN PPT'!Q24,IF(AND('[1]LMP IN PPT'!$A24='[1]LMP IN MST'!$A22,'[1]LMP IN MST'!$Z22="ST",'[1]LMP IN MST'!$AA22="NORM",'[1]LMP IN MST'!$AB22="NOV"),'[1]LMP IN PPT'!Q24,IF(AND('[1]LMP IN PPT'!$A24='[1]LMP IN MST'!$A22,'[1]LMP IN MST'!$Z22="DST",'[1]LMP IN MST'!$AA22="SF",'[1]LMP IN MST'!$AB22="MAR"),'[1]LMP IN PPT'!Q24,IF(AND('[1]LMP IN PPT'!$A24='[1]LMP IN MST'!$A22,'[1]LMP IN MST'!$Z22="DST",'[1]LMP IN MST'!$AA22="NORM",'[1]LMP IN MST'!$AB22="NOV"),'[1]LMP IN PPT'!R24,IF(AND('[1]LMP IN PPT'!$A24='[1]LMP IN MST'!$A22,'[1]LMP IN MST'!$Z22="DST",'[1]LMP IN MST'!$AA22="NORM",OR('[1]LMP IN MST'!$AB22="MAR",'[1]LMP IN MST'!$AB22="")),'[1]LMP IN PPT'!Q24,0))))))</f>
        <v>-31.551649999999999</v>
      </c>
      <c r="O22">
        <f>IF(AND('[1]LMP IN PPT'!$A24='[1]LMP IN MST'!$A22,'[1]LMP IN MST'!$Z22="ST",'[1]LMP IN MST'!$AA22="NORM",OR('[1]LMP IN MST'!$AB22="MAR",'[1]LMP IN MST'!$AB22="")),'[1]LMP IN PPT'!Q24,IF(AND('[1]LMP IN PPT'!$A24='[1]LMP IN MST'!$A22,'[1]LMP IN MST'!$Z22="DST",'[1]LMP IN MST'!$AA22="FB",'[1]LMP IN MST'!$AB22="NOV"),'[1]LMP IN PPT'!R24,IF(AND('[1]LMP IN PPT'!$A24='[1]LMP IN MST'!$A22,'[1]LMP IN MST'!$Z22="ST",'[1]LMP IN MST'!$AA22="NORM",'[1]LMP IN MST'!$AB22="NOV"),'[1]LMP IN PPT'!R24,IF(AND('[1]LMP IN PPT'!$A24='[1]LMP IN MST'!$A22,'[1]LMP IN MST'!$Z22="DST",'[1]LMP IN MST'!$AA22="SF",'[1]LMP IN MST'!$AB22="MAR"),'[1]LMP IN PPT'!R24,IF(AND('[1]LMP IN PPT'!$A24='[1]LMP IN MST'!$A22,'[1]LMP IN MST'!$Z22="DST",'[1]LMP IN MST'!$AA22="NORM",'[1]LMP IN MST'!$AB22="NOV"),'[1]LMP IN PPT'!S24,IF(AND('[1]LMP IN PPT'!$A24='[1]LMP IN MST'!$A22,'[1]LMP IN MST'!$Z22="DST",'[1]LMP IN MST'!$AA22="NORM",OR('[1]LMP IN MST'!$AB22="MAR",'[1]LMP IN MST'!$AB22="")),'[1]LMP IN PPT'!R24,0))))))</f>
        <v>-35.825479999999999</v>
      </c>
      <c r="P22">
        <f>IF(AND('[1]LMP IN PPT'!$A24='[1]LMP IN MST'!$A22,'[1]LMP IN MST'!$Z22="ST",'[1]LMP IN MST'!$AA22="NORM",OR('[1]LMP IN MST'!$AB22="MAR",'[1]LMP IN MST'!$AB22="")),'[1]LMP IN PPT'!R24,IF(AND('[1]LMP IN PPT'!$A24='[1]LMP IN MST'!$A22,'[1]LMP IN MST'!$Z22="DST",'[1]LMP IN MST'!$AA22="FB",'[1]LMP IN MST'!$AB22="NOV"),'[1]LMP IN PPT'!S24,IF(AND('[1]LMP IN PPT'!$A24='[1]LMP IN MST'!$A22,'[1]LMP IN MST'!$Z22="ST",'[1]LMP IN MST'!$AA22="NORM",'[1]LMP IN MST'!$AB22="NOV"),'[1]LMP IN PPT'!S24,IF(AND('[1]LMP IN PPT'!$A24='[1]LMP IN MST'!$A22,'[1]LMP IN MST'!$Z22="DST",'[1]LMP IN MST'!$AA22="SF",'[1]LMP IN MST'!$AB22="MAR"),'[1]LMP IN PPT'!S24,IF(AND('[1]LMP IN PPT'!$A24='[1]LMP IN MST'!$A22,'[1]LMP IN MST'!$Z22="DST",'[1]LMP IN MST'!$AA22="NORM",'[1]LMP IN MST'!$AB22="NOV"),'[1]LMP IN PPT'!T24,IF(AND('[1]LMP IN PPT'!$A24='[1]LMP IN MST'!$A22,'[1]LMP IN MST'!$Z22="DST",'[1]LMP IN MST'!$AA22="NORM",OR('[1]LMP IN MST'!$AB22="MAR",'[1]LMP IN MST'!$AB22="")),'[1]LMP IN PPT'!S24,0))))))</f>
        <v>-36.080719999999999</v>
      </c>
      <c r="Q22">
        <f>IF(AND('[1]LMP IN PPT'!$A24='[1]LMP IN MST'!$A22,'[1]LMP IN MST'!$Z22="ST",'[1]LMP IN MST'!$AA22="NORM",OR('[1]LMP IN MST'!$AB22="MAR",'[1]LMP IN MST'!$AB22="")),'[1]LMP IN PPT'!S24,IF(AND('[1]LMP IN PPT'!$A24='[1]LMP IN MST'!$A22,'[1]LMP IN MST'!$Z22="DST",'[1]LMP IN MST'!$AA22="FB",'[1]LMP IN MST'!$AB22="NOV"),'[1]LMP IN PPT'!T24,IF(AND('[1]LMP IN PPT'!$A24='[1]LMP IN MST'!$A22,'[1]LMP IN MST'!$Z22="ST",'[1]LMP IN MST'!$AA22="NORM",'[1]LMP IN MST'!$AB22="NOV"),'[1]LMP IN PPT'!T24,IF(AND('[1]LMP IN PPT'!$A24='[1]LMP IN MST'!$A22,'[1]LMP IN MST'!$Z22="DST",'[1]LMP IN MST'!$AA22="SF",'[1]LMP IN MST'!$AB22="MAR"),'[1]LMP IN PPT'!T24,IF(AND('[1]LMP IN PPT'!$A24='[1]LMP IN MST'!$A22,'[1]LMP IN MST'!$Z22="DST",'[1]LMP IN MST'!$AA22="NORM",'[1]LMP IN MST'!$AB22="NOV"),'[1]LMP IN PPT'!U24,IF(AND('[1]LMP IN PPT'!$A24='[1]LMP IN MST'!$A22,'[1]LMP IN MST'!$Z22="DST",'[1]LMP IN MST'!$AA22="NORM",OR('[1]LMP IN MST'!$AB22="MAR",'[1]LMP IN MST'!$AB22="")),'[1]LMP IN PPT'!T24,0))))))</f>
        <v>-35.253160000000001</v>
      </c>
      <c r="R22">
        <f>IF(AND('[1]LMP IN PPT'!$A24='[1]LMP IN MST'!$A22,'[1]LMP IN MST'!$Z22="ST",'[1]LMP IN MST'!$AA22="NORM",OR('[1]LMP IN MST'!$AB22="MAR",'[1]LMP IN MST'!$AB22="")),'[1]LMP IN PPT'!T24,IF(AND('[1]LMP IN PPT'!$A24='[1]LMP IN MST'!$A22,'[1]LMP IN MST'!$Z22="DST",'[1]LMP IN MST'!$AA22="FB",'[1]LMP IN MST'!$AB22="NOV"),'[1]LMP IN PPT'!U24,IF(AND('[1]LMP IN PPT'!$A24='[1]LMP IN MST'!$A22,'[1]LMP IN MST'!$Z22="ST",'[1]LMP IN MST'!$AA22="NORM",'[1]LMP IN MST'!$AB22="NOV"),'[1]LMP IN PPT'!U24,IF(AND('[1]LMP IN PPT'!$A24='[1]LMP IN MST'!$A22,'[1]LMP IN MST'!$Z22="DST",'[1]LMP IN MST'!$AA22="SF",'[1]LMP IN MST'!$AB22="MAR"),'[1]LMP IN PPT'!U24,IF(AND('[1]LMP IN PPT'!$A24='[1]LMP IN MST'!$A22,'[1]LMP IN MST'!$Z22="DST",'[1]LMP IN MST'!$AA22="NORM",'[1]LMP IN MST'!$AB22="NOV"),'[1]LMP IN PPT'!V24,IF(AND('[1]LMP IN PPT'!$A24='[1]LMP IN MST'!$A22,'[1]LMP IN MST'!$Z22="DST",'[1]LMP IN MST'!$AA22="NORM",OR('[1]LMP IN MST'!$AB22="MAR",'[1]LMP IN MST'!$AB22="")),'[1]LMP IN PPT'!U24,0))))))</f>
        <v>-24.191939999999999</v>
      </c>
      <c r="S22">
        <f>IF(AND('[1]LMP IN PPT'!$A24='[1]LMP IN MST'!$A22,'[1]LMP IN MST'!$Z22="ST",'[1]LMP IN MST'!$AA22="NORM",OR('[1]LMP IN MST'!$AB22="MAR",'[1]LMP IN MST'!$AB22="")),'[1]LMP IN PPT'!U24,IF(AND('[1]LMP IN PPT'!$A24='[1]LMP IN MST'!$A22,'[1]LMP IN MST'!$Z22="DST",'[1]LMP IN MST'!$AA22="FB",'[1]LMP IN MST'!$AB22="NOV"),'[1]LMP IN PPT'!V24,IF(AND('[1]LMP IN PPT'!$A24='[1]LMP IN MST'!$A22,'[1]LMP IN MST'!$Z22="ST",'[1]LMP IN MST'!$AA22="NORM",'[1]LMP IN MST'!$AB22="NOV"),'[1]LMP IN PPT'!V24,IF(AND('[1]LMP IN PPT'!$A24='[1]LMP IN MST'!$A22,'[1]LMP IN MST'!$Z22="DST",'[1]LMP IN MST'!$AA22="SF",'[1]LMP IN MST'!$AB22="MAR"),'[1]LMP IN PPT'!V24,IF(AND('[1]LMP IN PPT'!$A24='[1]LMP IN MST'!$A22,'[1]LMP IN MST'!$Z22="DST",'[1]LMP IN MST'!$AA22="NORM",'[1]LMP IN MST'!$AB22="NOV"),'[1]LMP IN PPT'!W24,IF(AND('[1]LMP IN PPT'!$A24='[1]LMP IN MST'!$A22,'[1]LMP IN MST'!$Z22="DST",'[1]LMP IN MST'!$AA22="NORM",OR('[1]LMP IN MST'!$AB22="MAR",'[1]LMP IN MST'!$AB22="")),'[1]LMP IN PPT'!V24,0))))))</f>
        <v>6.7311899999999998</v>
      </c>
      <c r="T22">
        <f>IF(AND('[1]LMP IN PPT'!$A24='[1]LMP IN MST'!$A22,'[1]LMP IN MST'!$Z22="ST",'[1]LMP IN MST'!$AA22="NORM",OR('[1]LMP IN MST'!$AB22="MAR",'[1]LMP IN MST'!$AB22="")),'[1]LMP IN PPT'!V24,IF(AND('[1]LMP IN PPT'!$A24='[1]LMP IN MST'!$A22,'[1]LMP IN MST'!$Z22="DST",'[1]LMP IN MST'!$AA22="FB",'[1]LMP IN MST'!$AB22="NOV"),'[1]LMP IN PPT'!W24,IF(AND('[1]LMP IN PPT'!$A24='[1]LMP IN MST'!$A22,'[1]LMP IN MST'!$Z22="ST",'[1]LMP IN MST'!$AA22="NORM",'[1]LMP IN MST'!$AB22="NOV"),'[1]LMP IN PPT'!W24,IF(AND('[1]LMP IN PPT'!$A24='[1]LMP IN MST'!$A22,'[1]LMP IN MST'!$Z22="DST",'[1]LMP IN MST'!$AA22="SF",'[1]LMP IN MST'!$AB22="MAR"),'[1]LMP IN PPT'!W24,IF(AND('[1]LMP IN PPT'!$A24='[1]LMP IN MST'!$A22,'[1]LMP IN MST'!$Z22="DST",'[1]LMP IN MST'!$AA22="NORM",'[1]LMP IN MST'!$AB22="NOV"),'[1]LMP IN PPT'!X24,IF(AND('[1]LMP IN PPT'!$A24='[1]LMP IN MST'!$A22,'[1]LMP IN MST'!$Z22="DST",'[1]LMP IN MST'!$AA22="NORM",OR('[1]LMP IN MST'!$AB22="MAR",'[1]LMP IN MST'!$AB22="")),'[1]LMP IN PPT'!W24,0))))))</f>
        <v>34.512369999999997</v>
      </c>
      <c r="U22">
        <f>IF(AND('[1]LMP IN PPT'!$A24='[1]LMP IN MST'!$A22,'[1]LMP IN MST'!$Z22="ST",'[1]LMP IN MST'!$AA22="NORM",OR('[1]LMP IN MST'!$AB22="MAR",'[1]LMP IN MST'!$AB22="")),'[1]LMP IN PPT'!W24,IF(AND('[1]LMP IN PPT'!$A24='[1]LMP IN MST'!$A22,'[1]LMP IN MST'!$Z22="DST",'[1]LMP IN MST'!$AA22="FB",'[1]LMP IN MST'!$AB22="NOV"),'[1]LMP IN PPT'!X24,IF(AND('[1]LMP IN PPT'!$A24='[1]LMP IN MST'!$A22,'[1]LMP IN MST'!$Z22="ST",'[1]LMP IN MST'!$AA22="NORM",'[1]LMP IN MST'!$AB22="NOV"),'[1]LMP IN PPT'!X24,IF(AND('[1]LMP IN PPT'!$A24='[1]LMP IN MST'!$A22,'[1]LMP IN MST'!$Z22="DST",'[1]LMP IN MST'!$AA22="SF",'[1]LMP IN MST'!$AB22="MAR"),'[1]LMP IN PPT'!X24,IF(AND('[1]LMP IN PPT'!$A24='[1]LMP IN MST'!$A22,'[1]LMP IN MST'!$Z22="DST",'[1]LMP IN MST'!$AA22="NORM",'[1]LMP IN MST'!$AB22="NOV"),'[1]LMP IN PPT'!Y24,IF(AND('[1]LMP IN PPT'!$A24='[1]LMP IN MST'!$A22,'[1]LMP IN MST'!$Z22="DST",'[1]LMP IN MST'!$AA22="NORM",OR('[1]LMP IN MST'!$AB22="MAR",'[1]LMP IN MST'!$AB22="")),'[1]LMP IN PPT'!X24,0))))))</f>
        <v>44.056820000000002</v>
      </c>
      <c r="V22">
        <f>IF(AND('[1]LMP IN PPT'!$A24='[1]LMP IN MST'!$A22,'[1]LMP IN MST'!$Z22="ST",'[1]LMP IN MST'!$AA22="NORM",OR('[1]LMP IN MST'!$AB22="MAR",'[1]LMP IN MST'!$AB22="")),'[1]LMP IN PPT'!X24,IF(AND('[1]LMP IN PPT'!$A24='[1]LMP IN MST'!$A22,'[1]LMP IN MST'!$Z22="DST",'[1]LMP IN MST'!$AA22="FB",'[1]LMP IN MST'!$AB22="NOV"),'[1]LMP IN PPT'!Y24,IF(AND('[1]LMP IN PPT'!$A24='[1]LMP IN MST'!$A22,'[1]LMP IN MST'!$Z22="ST",'[1]LMP IN MST'!$AA22="NORM",'[1]LMP IN MST'!$AB22="NOV"),'[1]LMP IN PPT'!Y24,IF(AND('[1]LMP IN PPT'!$A24='[1]LMP IN MST'!$A22,'[1]LMP IN MST'!$Z22="DST",'[1]LMP IN MST'!$AA22="SF",'[1]LMP IN MST'!$AB22="MAR"),'[1]LMP IN PPT'!Y24,IF(AND('[1]LMP IN PPT'!$A24='[1]LMP IN MST'!$A22,'[1]LMP IN MST'!$Z22="DST",'[1]LMP IN MST'!$AA22="NORM",'[1]LMP IN MST'!$AB22="NOV"),'[1]LMP IN PPT'!Z24,IF(AND('[1]LMP IN PPT'!$A24='[1]LMP IN MST'!$A22,'[1]LMP IN MST'!$Z22="DST",'[1]LMP IN MST'!$AA22="NORM",OR('[1]LMP IN MST'!$AB22="MAR",'[1]LMP IN MST'!$AB22="")),'[1]LMP IN PPT'!Y24,0))))))</f>
        <v>40.41778</v>
      </c>
      <c r="W22">
        <f>IF(AND('[1]LMP IN PPT'!$A24='[1]LMP IN MST'!$A22,'[1]LMP IN MST'!$Z22="ST",'[1]LMP IN MST'!$AA22="NORM",OR('[1]LMP IN MST'!$AB22="MAR",'[1]LMP IN MST'!$AB22="")),'[1]LMP IN PPT'!Y24,IF(AND('[1]LMP IN PPT'!$A24='[1]LMP IN MST'!$A22,'[1]LMP IN MST'!$Z22="DST",'[1]LMP IN MST'!$AA22="FB",'[1]LMP IN MST'!$AB22="NOV"),'[1]LMP IN PPT'!Z24,IF(AND('[1]LMP IN PPT'!$A24='[1]LMP IN MST'!$A22,'[1]LMP IN MST'!$Z22="ST",'[1]LMP IN MST'!$AA22="NORM",'[1]LMP IN MST'!$AB22="NOV"),'[1]LMP IN PPT'!Z24,IF(AND('[1]LMP IN PPT'!$A24='[1]LMP IN MST'!$A22,'[1]LMP IN MST'!$Z22="DST",'[1]LMP IN MST'!$AA22="SF",'[1]LMP IN MST'!$AB22="MAR"),'[1]LMP IN PPT'!Z24,IF(AND('[1]LMP IN PPT'!$A24='[1]LMP IN MST'!$A22,'[1]LMP IN MST'!$Z22="DST",'[1]LMP IN MST'!$AA22="NORM",'[1]LMP IN MST'!$AB22="NOV"),'[1]LMP IN PPT'!AA24,IF(AND('[1]LMP IN PPT'!$A24='[1]LMP IN MST'!$A22,'[1]LMP IN MST'!$Z22="DST",'[1]LMP IN MST'!$AA22="NORM",OR('[1]LMP IN MST'!$AB22="MAR",'[1]LMP IN MST'!$AB22="")),'[1]LMP IN PPT'!Z24,0))))))</f>
        <v>39.571339999999999</v>
      </c>
      <c r="X22">
        <f>IF(AND('[1]LMP IN PPT'!$A24='[1]LMP IN MST'!$A22,'[1]LMP IN MST'!$Z22="ST",'[1]LMP IN MST'!$AA22="NORM",OR('[1]LMP IN MST'!$AB22="MAR",'[1]LMP IN MST'!$AB22="")),'[1]LMP IN PPT'!Z24,IF(AND('[1]LMP IN PPT'!$A24='[1]LMP IN MST'!$A22,'[1]LMP IN MST'!$Z22="DST",'[1]LMP IN MST'!$AA22="FB",'[1]LMP IN MST'!$AB22="NOV"),'[1]LMP IN PPT'!AA24,IF(AND('[1]LMP IN PPT'!$A24='[1]LMP IN MST'!$A22,'[1]LMP IN MST'!$Z22="ST",'[1]LMP IN MST'!$AA22="NORM",'[1]LMP IN MST'!$AB22="NOV"),'[1]LMP IN PPT'!AA24,IF(AND('[1]LMP IN PPT'!$A24='[1]LMP IN MST'!$A22,'[1]LMP IN MST'!$Z22="DST",'[1]LMP IN MST'!$AA22="SF",'[1]LMP IN MST'!$AB22="MAR"),'[1]LMP IN PPT'!AA24,IF(AND('[1]LMP IN PPT'!$A24='[1]LMP IN MST'!$A22,'[1]LMP IN MST'!$Z22="DST",'[1]LMP IN MST'!$AA22="NORM",'[1]LMP IN MST'!$AB22="NOV"),'[1]LMP IN PPT'!AB24,IF(AND('[1]LMP IN PPT'!$A24='[1]LMP IN MST'!$A22,'[1]LMP IN MST'!$Z22="DST",'[1]LMP IN MST'!$AA22="NORM",OR('[1]LMP IN MST'!$AB22="MAR",'[1]LMP IN MST'!$AB22="")),'[1]LMP IN PPT'!AA24,0))))))</f>
        <v>33.360680000000002</v>
      </c>
      <c r="Y22">
        <f>IF(AND('[1]LMP IN PPT'!$A24='[1]LMP IN MST'!$A22,'[1]LMP IN MST'!$Z22="ST",'[1]LMP IN MST'!$AA22="NORM",OR('[1]LMP IN MST'!$AB22="MAR",'[1]LMP IN MST'!$AB22="")),'[1]LMP IN PPT'!AA24,IF(AND('[1]LMP IN PPT'!$A24='[1]LMP IN MST'!$A22,'[1]LMP IN MST'!$Z22="DST",'[1]LMP IN MST'!$AA22="FB",'[1]LMP IN MST'!$AB22="NOV"),'[1]LMP IN PPT'!AB24,IF(AND('[1]LMP IN PPT'!$A24='[1]LMP IN MST'!$A22,'[1]LMP IN MST'!$Z22="ST",'[1]LMP IN MST'!$AA22="NORM",'[1]LMP IN MST'!$AB22="NOV"),'[1]LMP IN PPT'!AB24,IF(AND('[1]LMP IN PPT'!$A24='[1]LMP IN MST'!$A22,'[1]LMP IN MST'!$Z22="DST",'[1]LMP IN MST'!$AA22="SF",'[1]LMP IN MST'!$AB22="MAR"),'[1]LMP IN PPT'!AB24,IF(AND('[1]LMP IN PPT'!$A24='[1]LMP IN MST'!$A22,'[1]LMP IN MST'!$Z22="DST",'[1]LMP IN MST'!$AA22="NORM",'[1]LMP IN MST'!$AB22="NOV"),'[1]LMP IN PPT'!AC24,IF(AND('[1]LMP IN PPT'!$A24='[1]LMP IN MST'!$A22,'[1]LMP IN MST'!$Z22="DST",'[1]LMP IN MST'!$AA22="NORM",OR('[1]LMP IN MST'!$AB22="MAR",'[1]LMP IN MST'!$AB22="")),'[1]LMP IN PPT'!AB24,0))))))</f>
        <v>32.106859999999998</v>
      </c>
    </row>
    <row r="23" spans="1:25" x14ac:dyDescent="0.3">
      <c r="A23" s="1">
        <f t="shared" si="0"/>
        <v>45373</v>
      </c>
      <c r="B23">
        <f>IF(AND('[1]LMP IN PPT'!$A25='[1]LMP IN MST'!$A23,'[1]LMP IN MST'!$Z23="ST",'[1]LMP IN MST'!$AA23="NORM",'[1]LMP IN MST'!$AB23="NOV"),'[1]LMP IN PPT'!AC24,IF(AND('[1]LMP IN PPT'!$A25='[1]LMP IN MST'!$A23,'[1]LMP IN MST'!$Z23="ST",'[1]LMP IN MST'!$AA23="NORM",'[1]LMP IN MST'!$AB23="MAR"),'[1]LMP IN PPT'!AB24,IF(AND('[1]LMP IN PPT'!$A25='[1]LMP IN MST'!$A23,'[1]LMP IN MST'!$Z23="ST",'[1]LMP IN MST'!$AA23="NORM",'[1]LMP IN MST'!$AB23=""),'[1]LMP IN PPT'!AB24,IF(AND('[1]LMP IN PPT'!$A25='[1]LMP IN MST'!$A23,'[1]LMP IN MST'!$Z23="DST",'[1]LMP IN MST'!$AA23="FB",'[1]LMP IN MST'!$AB23="NOV"),'[1]LMP IN PPT'!E25,IF(AND('[1]LMP IN PPT'!$A25='[1]LMP IN MST'!$A23,'[1]LMP IN MST'!$Z23="DST",'[1]LMP IN MST'!$AA23="SF",'[1]LMP IN MST'!$AB23="MAR"),'[1]LMP IN PPT'!AB24,IF(AND('[1]LMP IN PPT'!$A25='[1]LMP IN MST'!$A23,'[1]LMP IN MST'!$Z23="DST",'[1]LMP IN MST'!$AA23="NORM",OR('[1]LMP IN MST'!$AB23="MAR",'[1]LMP IN MST'!$AB23="",'[1]LMP IN MST'!$AB23="NOV")),'[1]LMP IN PPT'!E25,0))))))</f>
        <v>36.472230000000003</v>
      </c>
      <c r="C23">
        <f>IF(AND('[1]LMP IN PPT'!$A25='[1]LMP IN MST'!$A23,'[1]LMP IN MST'!$Z23="ST",'[1]LMP IN MST'!$AA23="NORM",OR('[1]LMP IN MST'!$AB23="NOV",'[1]LMP IN MST'!$AB23="MAR",'[1]LMP IN MST'!$AB23="")),'[1]LMP IN PPT'!E25,IF(AND('[1]LMP IN PPT'!$A25='[1]LMP IN MST'!$A23,'[1]LMP IN MST'!$Z23="DST",'[1]LMP IN MST'!$AA23="FB",'[1]LMP IN MST'!$AB23="NOV"),'[1]LMP IN PPT'!F25,IF(AND('[1]LMP IN PPT'!$A25='[1]LMP IN MST'!$A23,'[1]LMP IN MST'!$Z23="DST",'[1]LMP IN MST'!$AA23="SF",'[1]LMP IN MST'!$AB23="MAR"),'[1]LMP IN PPT'!E25,IF(AND('[1]LMP IN PPT'!$A25='[1]LMP IN MST'!$A23,'[1]LMP IN MST'!$Z23="DST",'[1]LMP IN MST'!$AA23="NORM",OR('[1]LMP IN MST'!$AB23="MAR",'[1]LMP IN MST'!$AB23="",'[1]LMP IN MST'!$AB23="NOV")),'[1]LMP IN PPT'!F25,0))))</f>
        <v>30.52111</v>
      </c>
      <c r="D23">
        <f>IF(AND('[1]LMP IN PPT'!$A25='[1]LMP IN MST'!$A23,'[1]LMP IN MST'!$Z23="ST",'[1]LMP IN MST'!$AA23="NORM",OR('[1]LMP IN MST'!$AB23="NOV",'[1]LMP IN MST'!$AB23="MAR",'[1]LMP IN MST'!$AB23="")),'[1]LMP IN PPT'!F25,IF(AND('[1]LMP IN PPT'!$A25='[1]LMP IN MST'!$A23,'[1]LMP IN MST'!$Z23="DST",'[1]LMP IN MST'!$AA23="FB",'[1]LMP IN MST'!$AB23="NOV"),'[1]LMP IN PPT'!G25,IF(AND('[1]LMP IN PPT'!$A25='[1]LMP IN MST'!$A23,'[1]LMP IN MST'!$Z23="DST",'[1]LMP IN MST'!$AA23="SF",'[1]LMP IN MST'!$AB23="MAR"),'[1]LMP IN PPT'!F25,IF(AND('[1]LMP IN PPT'!$A25='[1]LMP IN MST'!$A23,'[1]LMP IN MST'!$Z23="DST",'[1]LMP IN MST'!$AA23="NORM",'[1]LMP IN MST'!$AB23="NOV"),'[1]LMP IN PPT'!H25,IF(AND('[1]LMP IN PPT'!$A25='[1]LMP IN MST'!$A23,'[1]LMP IN MST'!$Z23="DST",'[1]LMP IN MST'!$AA23="NORM",OR('[1]LMP IN MST'!$AB23="MAR",'[1]LMP IN MST'!$AB23="")),'[1]LMP IN PPT'!G25,0)))))</f>
        <v>29.738420000000001</v>
      </c>
      <c r="E23">
        <f>IF(AND('[1]LMP IN PPT'!$A25='[1]LMP IN MST'!$A23,'[1]LMP IN MST'!$Z23="ST",'[1]LMP IN MST'!$AA23="NORM",OR('[1]LMP IN MST'!$AB23="MAR",'[1]LMP IN MST'!$AB23="")),'[1]LMP IN PPT'!G25,IF(AND('[1]LMP IN PPT'!$A25='[1]LMP IN MST'!$A23,'[1]LMP IN MST'!$Z23="DST",'[1]LMP IN MST'!$AA23="FB",'[1]LMP IN MST'!$AB23="NOV"),'[1]LMP IN PPT'!H25,IF(AND('[1]LMP IN PPT'!$A25='[1]LMP IN MST'!$A23,'[1]LMP IN MST'!$Z23="ST",'[1]LMP IN MST'!$AA23="NORM",'[1]LMP IN MST'!$AB23="NOV"),'[1]LMP IN PPT'!H25,IF(AND('[1]LMP IN PPT'!$A25='[1]LMP IN MST'!$A23,'[1]LMP IN MST'!$Z23="DST",'[1]LMP IN MST'!$AA23="SF",'[1]LMP IN MST'!$AB23="MAR"),'[1]LMP IN PPT'!H25,IF(AND('[1]LMP IN PPT'!$A25='[1]LMP IN MST'!$A23,'[1]LMP IN MST'!$Z23="DST",'[1]LMP IN MST'!$AA23="NORM",'[1]LMP IN MST'!$AB23="NOV"),'[1]LMP IN PPT'!I25,IF(AND('[1]LMP IN PPT'!$A25='[1]LMP IN MST'!$A23,'[1]LMP IN MST'!$Z23="DST",'[1]LMP IN MST'!$AA23="NORM",OR('[1]LMP IN MST'!$AB23="MAR",'[1]LMP IN MST'!$AB23="")),'[1]LMP IN PPT'!H25,0))))))</f>
        <v>29.907640000000001</v>
      </c>
      <c r="F23">
        <f>IF(AND('[1]LMP IN PPT'!$A25='[1]LMP IN MST'!$A23,'[1]LMP IN MST'!$Z23="ST",'[1]LMP IN MST'!$AA23="NORM",OR('[1]LMP IN MST'!$AB23="MAR",'[1]LMP IN MST'!$AB23="")),'[1]LMP IN PPT'!H25,IF(AND('[1]LMP IN PPT'!$A25='[1]LMP IN MST'!$A23,'[1]LMP IN MST'!$Z23="DST",'[1]LMP IN MST'!$AA23="FB",'[1]LMP IN MST'!$AB23="NOV"),'[1]LMP IN PPT'!I25,IF(AND('[1]LMP IN PPT'!$A25='[1]LMP IN MST'!$A23,'[1]LMP IN MST'!$Z23="ST",'[1]LMP IN MST'!$AA23="NORM",'[1]LMP IN MST'!$AB23="NOV"),'[1]LMP IN PPT'!I25,IF(AND('[1]LMP IN PPT'!$A25='[1]LMP IN MST'!$A23,'[1]LMP IN MST'!$Z23="DST",'[1]LMP IN MST'!$AA23="SF",'[1]LMP IN MST'!$AB23="MAR"),'[1]LMP IN PPT'!I25,IF(AND('[1]LMP IN PPT'!$A25='[1]LMP IN MST'!$A23,'[1]LMP IN MST'!$Z23="DST",'[1]LMP IN MST'!$AA23="NORM",'[1]LMP IN MST'!$AB23="NOV"),'[1]LMP IN PPT'!J25,IF(AND('[1]LMP IN PPT'!$A25='[1]LMP IN MST'!$A23,'[1]LMP IN MST'!$Z23="DST",'[1]LMP IN MST'!$AA23="NORM",OR('[1]LMP IN MST'!$AB23="MAR",'[1]LMP IN MST'!$AB23="")),'[1]LMP IN PPT'!I25,0))))))</f>
        <v>34.353630000000003</v>
      </c>
      <c r="G23">
        <f>IF(AND('[1]LMP IN PPT'!$A25='[1]LMP IN MST'!$A23,'[1]LMP IN MST'!$Z23="ST",'[1]LMP IN MST'!$AA23="NORM",OR('[1]LMP IN MST'!$AB23="MAR",'[1]LMP IN MST'!$AB23="")),'[1]LMP IN PPT'!I25,IF(AND('[1]LMP IN PPT'!$A25='[1]LMP IN MST'!$A23,'[1]LMP IN MST'!$Z23="DST",'[1]LMP IN MST'!$AA23="FB",'[1]LMP IN MST'!$AB23="NOV"),'[1]LMP IN PPT'!J25,IF(AND('[1]LMP IN PPT'!$A25='[1]LMP IN MST'!$A23,'[1]LMP IN MST'!$Z23="ST",'[1]LMP IN MST'!$AA23="NORM",'[1]LMP IN MST'!$AB23="NOV"),'[1]LMP IN PPT'!J25,IF(AND('[1]LMP IN PPT'!$A25='[1]LMP IN MST'!$A23,'[1]LMP IN MST'!$Z23="DST",'[1]LMP IN MST'!$AA23="SF",'[1]LMP IN MST'!$AB23="MAR"),'[1]LMP IN PPT'!J25,IF(AND('[1]LMP IN PPT'!$A25='[1]LMP IN MST'!$A23,'[1]LMP IN MST'!$Z23="DST",'[1]LMP IN MST'!$AA23="NORM",'[1]LMP IN MST'!$AB23="NOV"),'[1]LMP IN PPT'!K25,IF(AND('[1]LMP IN PPT'!$A25='[1]LMP IN MST'!$A23,'[1]LMP IN MST'!$Z23="DST",'[1]LMP IN MST'!$AA23="NORM",OR('[1]LMP IN MST'!$AB23="MAR",'[1]LMP IN MST'!$AB23="")),'[1]LMP IN PPT'!J25,0))))))</f>
        <v>46.707940000000001</v>
      </c>
      <c r="H23">
        <f>IF(AND('[1]LMP IN PPT'!$A25='[1]LMP IN MST'!$A23,'[1]LMP IN MST'!$Z23="ST",'[1]LMP IN MST'!$AA23="NORM",OR('[1]LMP IN MST'!$AB23="MAR",'[1]LMP IN MST'!$AB23="")),'[1]LMP IN PPT'!J25,IF(AND('[1]LMP IN PPT'!$A25='[1]LMP IN MST'!$A23,'[1]LMP IN MST'!$Z23="DST",'[1]LMP IN MST'!$AA23="FB",'[1]LMP IN MST'!$AB23="NOV"),'[1]LMP IN PPT'!K25,IF(AND('[1]LMP IN PPT'!$A25='[1]LMP IN MST'!$A23,'[1]LMP IN MST'!$Z23="ST",'[1]LMP IN MST'!$AA23="NORM",'[1]LMP IN MST'!$AB23="NOV"),'[1]LMP IN PPT'!K25,IF(AND('[1]LMP IN PPT'!$A25='[1]LMP IN MST'!$A23,'[1]LMP IN MST'!$Z23="DST",'[1]LMP IN MST'!$AA23="SF",'[1]LMP IN MST'!$AB23="MAR"),'[1]LMP IN PPT'!K25,IF(AND('[1]LMP IN PPT'!$A25='[1]LMP IN MST'!$A23,'[1]LMP IN MST'!$Z23="DST",'[1]LMP IN MST'!$AA23="NORM",'[1]LMP IN MST'!$AB23="NOV"),'[1]LMP IN PPT'!L25,IF(AND('[1]LMP IN PPT'!$A25='[1]LMP IN MST'!$A23,'[1]LMP IN MST'!$Z23="DST",'[1]LMP IN MST'!$AA23="NORM",OR('[1]LMP IN MST'!$AB23="MAR",'[1]LMP IN MST'!$AB23="")),'[1]LMP IN PPT'!K25,0))))))</f>
        <v>48.262300000000003</v>
      </c>
      <c r="I23">
        <f>IF(AND('[1]LMP IN PPT'!$A25='[1]LMP IN MST'!$A23,'[1]LMP IN MST'!$Z23="ST",'[1]LMP IN MST'!$AA23="NORM",OR('[1]LMP IN MST'!$AB23="MAR",'[1]LMP IN MST'!$AB23="")),'[1]LMP IN PPT'!K25,IF(AND('[1]LMP IN PPT'!$A25='[1]LMP IN MST'!$A23,'[1]LMP IN MST'!$Z23="DST",'[1]LMP IN MST'!$AA23="FB",'[1]LMP IN MST'!$AB23="NOV"),'[1]LMP IN PPT'!L25,IF(AND('[1]LMP IN PPT'!$A25='[1]LMP IN MST'!$A23,'[1]LMP IN MST'!$Z23="ST",'[1]LMP IN MST'!$AA23="NORM",'[1]LMP IN MST'!$AB23="NOV"),'[1]LMP IN PPT'!L25,IF(AND('[1]LMP IN PPT'!$A25='[1]LMP IN MST'!$A23,'[1]LMP IN MST'!$Z23="DST",'[1]LMP IN MST'!$AA23="SF",'[1]LMP IN MST'!$AB23="MAR"),'[1]LMP IN PPT'!L25,IF(AND('[1]LMP IN PPT'!$A25='[1]LMP IN MST'!$A23,'[1]LMP IN MST'!$Z23="DST",'[1]LMP IN MST'!$AA23="NORM",'[1]LMP IN MST'!$AB23="NOV"),'[1]LMP IN PPT'!M25,IF(AND('[1]LMP IN PPT'!$A25='[1]LMP IN MST'!$A23,'[1]LMP IN MST'!$Z23="DST",'[1]LMP IN MST'!$AA23="NORM",OR('[1]LMP IN MST'!$AB23="MAR",'[1]LMP IN MST'!$AB23="")),'[1]LMP IN PPT'!L25,0))))))</f>
        <v>47.645339999999997</v>
      </c>
      <c r="J23">
        <f>IF(AND('[1]LMP IN PPT'!$A25='[1]LMP IN MST'!$A23,'[1]LMP IN MST'!$Z23="ST",'[1]LMP IN MST'!$AA23="NORM",OR('[1]LMP IN MST'!$AB23="MAR",'[1]LMP IN MST'!$AB23="")),'[1]LMP IN PPT'!L25,IF(AND('[1]LMP IN PPT'!$A25='[1]LMP IN MST'!$A23,'[1]LMP IN MST'!$Z23="DST",'[1]LMP IN MST'!$AA23="FB",'[1]LMP IN MST'!$AB23="NOV"),'[1]LMP IN PPT'!M25,IF(AND('[1]LMP IN PPT'!$A25='[1]LMP IN MST'!$A23,'[1]LMP IN MST'!$Z23="ST",'[1]LMP IN MST'!$AA23="NORM",'[1]LMP IN MST'!$AB23="NOV"),'[1]LMP IN PPT'!M25,IF(AND('[1]LMP IN PPT'!$A25='[1]LMP IN MST'!$A23,'[1]LMP IN MST'!$Z23="DST",'[1]LMP IN MST'!$AA23="SF",'[1]LMP IN MST'!$AB23="MAR"),'[1]LMP IN PPT'!M25,IF(AND('[1]LMP IN PPT'!$A25='[1]LMP IN MST'!$A23,'[1]LMP IN MST'!$Z23="DST",'[1]LMP IN MST'!$AA23="NORM",'[1]LMP IN MST'!$AB23="NOV"),'[1]LMP IN PPT'!N25,IF(AND('[1]LMP IN PPT'!$A25='[1]LMP IN MST'!$A23,'[1]LMP IN MST'!$Z23="DST",'[1]LMP IN MST'!$AA23="NORM",OR('[1]LMP IN MST'!$AB23="MAR",'[1]LMP IN MST'!$AB23="")),'[1]LMP IN PPT'!M25,0))))))</f>
        <v>19.573640000000001</v>
      </c>
      <c r="K23">
        <f>IF(AND('[1]LMP IN PPT'!$A25='[1]LMP IN MST'!$A23,'[1]LMP IN MST'!$Z23="ST",'[1]LMP IN MST'!$AA23="NORM",OR('[1]LMP IN MST'!$AB23="MAR",'[1]LMP IN MST'!$AB23="")),'[1]LMP IN PPT'!M25,IF(AND('[1]LMP IN PPT'!$A25='[1]LMP IN MST'!$A23,'[1]LMP IN MST'!$Z23="DST",'[1]LMP IN MST'!$AA23="FB",'[1]LMP IN MST'!$AB23="NOV"),'[1]LMP IN PPT'!N25,IF(AND('[1]LMP IN PPT'!$A25='[1]LMP IN MST'!$A23,'[1]LMP IN MST'!$Z23="ST",'[1]LMP IN MST'!$AA23="NORM",'[1]LMP IN MST'!$AB23="NOV"),'[1]LMP IN PPT'!N25,IF(AND('[1]LMP IN PPT'!$A25='[1]LMP IN MST'!$A23,'[1]LMP IN MST'!$Z23="DST",'[1]LMP IN MST'!$AA23="SF",'[1]LMP IN MST'!$AB23="MAR"),'[1]LMP IN PPT'!N25,IF(AND('[1]LMP IN PPT'!$A25='[1]LMP IN MST'!$A23,'[1]LMP IN MST'!$Z23="DST",'[1]LMP IN MST'!$AA23="NORM",'[1]LMP IN MST'!$AB23="NOV"),'[1]LMP IN PPT'!O25,IF(AND('[1]LMP IN PPT'!$A25='[1]LMP IN MST'!$A23,'[1]LMP IN MST'!$Z23="DST",'[1]LMP IN MST'!$AA23="NORM",OR('[1]LMP IN MST'!$AB23="MAR",'[1]LMP IN MST'!$AB23="")),'[1]LMP IN PPT'!N25,0))))))</f>
        <v>4.3405699999999996</v>
      </c>
      <c r="L23">
        <f>IF(AND('[1]LMP IN PPT'!$A25='[1]LMP IN MST'!$A23,'[1]LMP IN MST'!$Z23="ST",'[1]LMP IN MST'!$AA23="NORM",OR('[1]LMP IN MST'!$AB23="MAR",'[1]LMP IN MST'!$AB23="")),'[1]LMP IN PPT'!N25,IF(AND('[1]LMP IN PPT'!$A25='[1]LMP IN MST'!$A23,'[1]LMP IN MST'!$Z23="DST",'[1]LMP IN MST'!$AA23="FB",'[1]LMP IN MST'!$AB23="NOV"),'[1]LMP IN PPT'!O25,IF(AND('[1]LMP IN PPT'!$A25='[1]LMP IN MST'!$A23,'[1]LMP IN MST'!$Z23="ST",'[1]LMP IN MST'!$AA23="NORM",'[1]LMP IN MST'!$AB23="NOV"),'[1]LMP IN PPT'!O25,IF(AND('[1]LMP IN PPT'!$A25='[1]LMP IN MST'!$A23,'[1]LMP IN MST'!$Z23="DST",'[1]LMP IN MST'!$AA23="SF",'[1]LMP IN MST'!$AB23="MAR"),'[1]LMP IN PPT'!O25,IF(AND('[1]LMP IN PPT'!$A25='[1]LMP IN MST'!$A23,'[1]LMP IN MST'!$Z23="DST",'[1]LMP IN MST'!$AA23="NORM",'[1]LMP IN MST'!$AB23="NOV"),'[1]LMP IN PPT'!P25,IF(AND('[1]LMP IN PPT'!$A25='[1]LMP IN MST'!$A23,'[1]LMP IN MST'!$Z23="DST",'[1]LMP IN MST'!$AA23="NORM",OR('[1]LMP IN MST'!$AB23="MAR",'[1]LMP IN MST'!$AB23="")),'[1]LMP IN PPT'!O25,0))))))</f>
        <v>-1.8572200000000001</v>
      </c>
      <c r="M23">
        <f>IF(AND('[1]LMP IN PPT'!$A25='[1]LMP IN MST'!$A23,'[1]LMP IN MST'!$Z23="ST",'[1]LMP IN MST'!$AA23="NORM",OR('[1]LMP IN MST'!$AB23="MAR",'[1]LMP IN MST'!$AB23="")),'[1]LMP IN PPT'!O25,IF(AND('[1]LMP IN PPT'!$A25='[1]LMP IN MST'!$A23,'[1]LMP IN MST'!$Z23="DST",'[1]LMP IN MST'!$AA23="FB",'[1]LMP IN MST'!$AB23="NOV"),'[1]LMP IN PPT'!P25,IF(AND('[1]LMP IN PPT'!$A25='[1]LMP IN MST'!$A23,'[1]LMP IN MST'!$Z23="ST",'[1]LMP IN MST'!$AA23="NORM",'[1]LMP IN MST'!$AB23="NOV"),'[1]LMP IN PPT'!P25,IF(AND('[1]LMP IN PPT'!$A25='[1]LMP IN MST'!$A23,'[1]LMP IN MST'!$Z23="DST",'[1]LMP IN MST'!$AA23="SF",'[1]LMP IN MST'!$AB23="MAR"),'[1]LMP IN PPT'!P25,IF(AND('[1]LMP IN PPT'!$A25='[1]LMP IN MST'!$A23,'[1]LMP IN MST'!$Z23="DST",'[1]LMP IN MST'!$AA23="NORM",'[1]LMP IN MST'!$AB23="NOV"),'[1]LMP IN PPT'!Q25,IF(AND('[1]LMP IN PPT'!$A25='[1]LMP IN MST'!$A23,'[1]LMP IN MST'!$Z23="DST",'[1]LMP IN MST'!$AA23="NORM",OR('[1]LMP IN MST'!$AB23="MAR",'[1]LMP IN MST'!$AB23="")),'[1]LMP IN PPT'!P25,0))))))</f>
        <v>-5.8145199999999999</v>
      </c>
      <c r="N23">
        <f>IF(AND('[1]LMP IN PPT'!$A25='[1]LMP IN MST'!$A23,'[1]LMP IN MST'!$Z23="ST",'[1]LMP IN MST'!$AA23="NORM",OR('[1]LMP IN MST'!$AB23="MAR",'[1]LMP IN MST'!$AB23="")),'[1]LMP IN PPT'!P25,IF(AND('[1]LMP IN PPT'!$A25='[1]LMP IN MST'!$A23,'[1]LMP IN MST'!$Z23="DST",'[1]LMP IN MST'!$AA23="FB",'[1]LMP IN MST'!$AB23="NOV"),'[1]LMP IN PPT'!Q25,IF(AND('[1]LMP IN PPT'!$A25='[1]LMP IN MST'!$A23,'[1]LMP IN MST'!$Z23="ST",'[1]LMP IN MST'!$AA23="NORM",'[1]LMP IN MST'!$AB23="NOV"),'[1]LMP IN PPT'!Q25,IF(AND('[1]LMP IN PPT'!$A25='[1]LMP IN MST'!$A23,'[1]LMP IN MST'!$Z23="DST",'[1]LMP IN MST'!$AA23="SF",'[1]LMP IN MST'!$AB23="MAR"),'[1]LMP IN PPT'!Q25,IF(AND('[1]LMP IN PPT'!$A25='[1]LMP IN MST'!$A23,'[1]LMP IN MST'!$Z23="DST",'[1]LMP IN MST'!$AA23="NORM",'[1]LMP IN MST'!$AB23="NOV"),'[1]LMP IN PPT'!R25,IF(AND('[1]LMP IN PPT'!$A25='[1]LMP IN MST'!$A23,'[1]LMP IN MST'!$Z23="DST",'[1]LMP IN MST'!$AA23="NORM",OR('[1]LMP IN MST'!$AB23="MAR",'[1]LMP IN MST'!$AB23="")),'[1]LMP IN PPT'!Q25,0))))))</f>
        <v>-11.853210000000001</v>
      </c>
      <c r="O23">
        <f>IF(AND('[1]LMP IN PPT'!$A25='[1]LMP IN MST'!$A23,'[1]LMP IN MST'!$Z23="ST",'[1]LMP IN MST'!$AA23="NORM",OR('[1]LMP IN MST'!$AB23="MAR",'[1]LMP IN MST'!$AB23="")),'[1]LMP IN PPT'!Q25,IF(AND('[1]LMP IN PPT'!$A25='[1]LMP IN MST'!$A23,'[1]LMP IN MST'!$Z23="DST",'[1]LMP IN MST'!$AA23="FB",'[1]LMP IN MST'!$AB23="NOV"),'[1]LMP IN PPT'!R25,IF(AND('[1]LMP IN PPT'!$A25='[1]LMP IN MST'!$A23,'[1]LMP IN MST'!$Z23="ST",'[1]LMP IN MST'!$AA23="NORM",'[1]LMP IN MST'!$AB23="NOV"),'[1]LMP IN PPT'!R25,IF(AND('[1]LMP IN PPT'!$A25='[1]LMP IN MST'!$A23,'[1]LMP IN MST'!$Z23="DST",'[1]LMP IN MST'!$AA23="SF",'[1]LMP IN MST'!$AB23="MAR"),'[1]LMP IN PPT'!R25,IF(AND('[1]LMP IN PPT'!$A25='[1]LMP IN MST'!$A23,'[1]LMP IN MST'!$Z23="DST",'[1]LMP IN MST'!$AA23="NORM",'[1]LMP IN MST'!$AB23="NOV"),'[1]LMP IN PPT'!S25,IF(AND('[1]LMP IN PPT'!$A25='[1]LMP IN MST'!$A23,'[1]LMP IN MST'!$Z23="DST",'[1]LMP IN MST'!$AA23="NORM",OR('[1]LMP IN MST'!$AB23="MAR",'[1]LMP IN MST'!$AB23="")),'[1]LMP IN PPT'!R25,0))))))</f>
        <v>-13.34198</v>
      </c>
      <c r="P23">
        <f>IF(AND('[1]LMP IN PPT'!$A25='[1]LMP IN MST'!$A23,'[1]LMP IN MST'!$Z23="ST",'[1]LMP IN MST'!$AA23="NORM",OR('[1]LMP IN MST'!$AB23="MAR",'[1]LMP IN MST'!$AB23="")),'[1]LMP IN PPT'!R25,IF(AND('[1]LMP IN PPT'!$A25='[1]LMP IN MST'!$A23,'[1]LMP IN MST'!$Z23="DST",'[1]LMP IN MST'!$AA23="FB",'[1]LMP IN MST'!$AB23="NOV"),'[1]LMP IN PPT'!S25,IF(AND('[1]LMP IN PPT'!$A25='[1]LMP IN MST'!$A23,'[1]LMP IN MST'!$Z23="ST",'[1]LMP IN MST'!$AA23="NORM",'[1]LMP IN MST'!$AB23="NOV"),'[1]LMP IN PPT'!S25,IF(AND('[1]LMP IN PPT'!$A25='[1]LMP IN MST'!$A23,'[1]LMP IN MST'!$Z23="DST",'[1]LMP IN MST'!$AA23="SF",'[1]LMP IN MST'!$AB23="MAR"),'[1]LMP IN PPT'!S25,IF(AND('[1]LMP IN PPT'!$A25='[1]LMP IN MST'!$A23,'[1]LMP IN MST'!$Z23="DST",'[1]LMP IN MST'!$AA23="NORM",'[1]LMP IN MST'!$AB23="NOV"),'[1]LMP IN PPT'!T25,IF(AND('[1]LMP IN PPT'!$A25='[1]LMP IN MST'!$A23,'[1]LMP IN MST'!$Z23="DST",'[1]LMP IN MST'!$AA23="NORM",OR('[1]LMP IN MST'!$AB23="MAR",'[1]LMP IN MST'!$AB23="")),'[1]LMP IN PPT'!S25,0))))))</f>
        <v>-12.69514</v>
      </c>
      <c r="Q23">
        <f>IF(AND('[1]LMP IN PPT'!$A25='[1]LMP IN MST'!$A23,'[1]LMP IN MST'!$Z23="ST",'[1]LMP IN MST'!$AA23="NORM",OR('[1]LMP IN MST'!$AB23="MAR",'[1]LMP IN MST'!$AB23="")),'[1]LMP IN PPT'!S25,IF(AND('[1]LMP IN PPT'!$A25='[1]LMP IN MST'!$A23,'[1]LMP IN MST'!$Z23="DST",'[1]LMP IN MST'!$AA23="FB",'[1]LMP IN MST'!$AB23="NOV"),'[1]LMP IN PPT'!T25,IF(AND('[1]LMP IN PPT'!$A25='[1]LMP IN MST'!$A23,'[1]LMP IN MST'!$Z23="ST",'[1]LMP IN MST'!$AA23="NORM",'[1]LMP IN MST'!$AB23="NOV"),'[1]LMP IN PPT'!T25,IF(AND('[1]LMP IN PPT'!$A25='[1]LMP IN MST'!$A23,'[1]LMP IN MST'!$Z23="DST",'[1]LMP IN MST'!$AA23="SF",'[1]LMP IN MST'!$AB23="MAR"),'[1]LMP IN PPT'!T25,IF(AND('[1]LMP IN PPT'!$A25='[1]LMP IN MST'!$A23,'[1]LMP IN MST'!$Z23="DST",'[1]LMP IN MST'!$AA23="NORM",'[1]LMP IN MST'!$AB23="NOV"),'[1]LMP IN PPT'!U25,IF(AND('[1]LMP IN PPT'!$A25='[1]LMP IN MST'!$A23,'[1]LMP IN MST'!$Z23="DST",'[1]LMP IN MST'!$AA23="NORM",OR('[1]LMP IN MST'!$AB23="MAR",'[1]LMP IN MST'!$AB23="")),'[1]LMP IN PPT'!T25,0))))))</f>
        <v>-10.1599</v>
      </c>
      <c r="R23">
        <f>IF(AND('[1]LMP IN PPT'!$A25='[1]LMP IN MST'!$A23,'[1]LMP IN MST'!$Z23="ST",'[1]LMP IN MST'!$AA23="NORM",OR('[1]LMP IN MST'!$AB23="MAR",'[1]LMP IN MST'!$AB23="")),'[1]LMP IN PPT'!T25,IF(AND('[1]LMP IN PPT'!$A25='[1]LMP IN MST'!$A23,'[1]LMP IN MST'!$Z23="DST",'[1]LMP IN MST'!$AA23="FB",'[1]LMP IN MST'!$AB23="NOV"),'[1]LMP IN PPT'!U25,IF(AND('[1]LMP IN PPT'!$A25='[1]LMP IN MST'!$A23,'[1]LMP IN MST'!$Z23="ST",'[1]LMP IN MST'!$AA23="NORM",'[1]LMP IN MST'!$AB23="NOV"),'[1]LMP IN PPT'!U25,IF(AND('[1]LMP IN PPT'!$A25='[1]LMP IN MST'!$A23,'[1]LMP IN MST'!$Z23="DST",'[1]LMP IN MST'!$AA23="SF",'[1]LMP IN MST'!$AB23="MAR"),'[1]LMP IN PPT'!U25,IF(AND('[1]LMP IN PPT'!$A25='[1]LMP IN MST'!$A23,'[1]LMP IN MST'!$Z23="DST",'[1]LMP IN MST'!$AA23="NORM",'[1]LMP IN MST'!$AB23="NOV"),'[1]LMP IN PPT'!V25,IF(AND('[1]LMP IN PPT'!$A25='[1]LMP IN MST'!$A23,'[1]LMP IN MST'!$Z23="DST",'[1]LMP IN MST'!$AA23="NORM",OR('[1]LMP IN MST'!$AB23="MAR",'[1]LMP IN MST'!$AB23="")),'[1]LMP IN PPT'!U25,0))))))</f>
        <v>1.7939099999999999</v>
      </c>
      <c r="S23">
        <f>IF(AND('[1]LMP IN PPT'!$A25='[1]LMP IN MST'!$A23,'[1]LMP IN MST'!$Z23="ST",'[1]LMP IN MST'!$AA23="NORM",OR('[1]LMP IN MST'!$AB23="MAR",'[1]LMP IN MST'!$AB23="")),'[1]LMP IN PPT'!U25,IF(AND('[1]LMP IN PPT'!$A25='[1]LMP IN MST'!$A23,'[1]LMP IN MST'!$Z23="DST",'[1]LMP IN MST'!$AA23="FB",'[1]LMP IN MST'!$AB23="NOV"),'[1]LMP IN PPT'!V25,IF(AND('[1]LMP IN PPT'!$A25='[1]LMP IN MST'!$A23,'[1]LMP IN MST'!$Z23="ST",'[1]LMP IN MST'!$AA23="NORM",'[1]LMP IN MST'!$AB23="NOV"),'[1]LMP IN PPT'!V25,IF(AND('[1]LMP IN PPT'!$A25='[1]LMP IN MST'!$A23,'[1]LMP IN MST'!$Z23="DST",'[1]LMP IN MST'!$AA23="SF",'[1]LMP IN MST'!$AB23="MAR"),'[1]LMP IN PPT'!V25,IF(AND('[1]LMP IN PPT'!$A25='[1]LMP IN MST'!$A23,'[1]LMP IN MST'!$Z23="DST",'[1]LMP IN MST'!$AA23="NORM",'[1]LMP IN MST'!$AB23="NOV"),'[1]LMP IN PPT'!W25,IF(AND('[1]LMP IN PPT'!$A25='[1]LMP IN MST'!$A23,'[1]LMP IN MST'!$Z23="DST",'[1]LMP IN MST'!$AA23="NORM",OR('[1]LMP IN MST'!$AB23="MAR",'[1]LMP IN MST'!$AB23="")),'[1]LMP IN PPT'!V25,0))))))</f>
        <v>27.77984</v>
      </c>
      <c r="T23">
        <f>IF(AND('[1]LMP IN PPT'!$A25='[1]LMP IN MST'!$A23,'[1]LMP IN MST'!$Z23="ST",'[1]LMP IN MST'!$AA23="NORM",OR('[1]LMP IN MST'!$AB23="MAR",'[1]LMP IN MST'!$AB23="")),'[1]LMP IN PPT'!V25,IF(AND('[1]LMP IN PPT'!$A25='[1]LMP IN MST'!$A23,'[1]LMP IN MST'!$Z23="DST",'[1]LMP IN MST'!$AA23="FB",'[1]LMP IN MST'!$AB23="NOV"),'[1]LMP IN PPT'!W25,IF(AND('[1]LMP IN PPT'!$A25='[1]LMP IN MST'!$A23,'[1]LMP IN MST'!$Z23="ST",'[1]LMP IN MST'!$AA23="NORM",'[1]LMP IN MST'!$AB23="NOV"),'[1]LMP IN PPT'!W25,IF(AND('[1]LMP IN PPT'!$A25='[1]LMP IN MST'!$A23,'[1]LMP IN MST'!$Z23="DST",'[1]LMP IN MST'!$AA23="SF",'[1]LMP IN MST'!$AB23="MAR"),'[1]LMP IN PPT'!W25,IF(AND('[1]LMP IN PPT'!$A25='[1]LMP IN MST'!$A23,'[1]LMP IN MST'!$Z23="DST",'[1]LMP IN MST'!$AA23="NORM",'[1]LMP IN MST'!$AB23="NOV"),'[1]LMP IN PPT'!X25,IF(AND('[1]LMP IN PPT'!$A25='[1]LMP IN MST'!$A23,'[1]LMP IN MST'!$Z23="DST",'[1]LMP IN MST'!$AA23="NORM",OR('[1]LMP IN MST'!$AB23="MAR",'[1]LMP IN MST'!$AB23="")),'[1]LMP IN PPT'!W25,0))))))</f>
        <v>39.152160000000002</v>
      </c>
      <c r="U23">
        <f>IF(AND('[1]LMP IN PPT'!$A25='[1]LMP IN MST'!$A23,'[1]LMP IN MST'!$Z23="ST",'[1]LMP IN MST'!$AA23="NORM",OR('[1]LMP IN MST'!$AB23="MAR",'[1]LMP IN MST'!$AB23="")),'[1]LMP IN PPT'!W25,IF(AND('[1]LMP IN PPT'!$A25='[1]LMP IN MST'!$A23,'[1]LMP IN MST'!$Z23="DST",'[1]LMP IN MST'!$AA23="FB",'[1]LMP IN MST'!$AB23="NOV"),'[1]LMP IN PPT'!X25,IF(AND('[1]LMP IN PPT'!$A25='[1]LMP IN MST'!$A23,'[1]LMP IN MST'!$Z23="ST",'[1]LMP IN MST'!$AA23="NORM",'[1]LMP IN MST'!$AB23="NOV"),'[1]LMP IN PPT'!X25,IF(AND('[1]LMP IN PPT'!$A25='[1]LMP IN MST'!$A23,'[1]LMP IN MST'!$Z23="DST",'[1]LMP IN MST'!$AA23="SF",'[1]LMP IN MST'!$AB23="MAR"),'[1]LMP IN PPT'!X25,IF(AND('[1]LMP IN PPT'!$A25='[1]LMP IN MST'!$A23,'[1]LMP IN MST'!$Z23="DST",'[1]LMP IN MST'!$AA23="NORM",'[1]LMP IN MST'!$AB23="NOV"),'[1]LMP IN PPT'!Y25,IF(AND('[1]LMP IN PPT'!$A25='[1]LMP IN MST'!$A23,'[1]LMP IN MST'!$Z23="DST",'[1]LMP IN MST'!$AA23="NORM",OR('[1]LMP IN MST'!$AB23="MAR",'[1]LMP IN MST'!$AB23="")),'[1]LMP IN PPT'!X25,0))))))</f>
        <v>40.370060000000002</v>
      </c>
      <c r="V23">
        <f>IF(AND('[1]LMP IN PPT'!$A25='[1]LMP IN MST'!$A23,'[1]LMP IN MST'!$Z23="ST",'[1]LMP IN MST'!$AA23="NORM",OR('[1]LMP IN MST'!$AB23="MAR",'[1]LMP IN MST'!$AB23="")),'[1]LMP IN PPT'!X25,IF(AND('[1]LMP IN PPT'!$A25='[1]LMP IN MST'!$A23,'[1]LMP IN MST'!$Z23="DST",'[1]LMP IN MST'!$AA23="FB",'[1]LMP IN MST'!$AB23="NOV"),'[1]LMP IN PPT'!Y25,IF(AND('[1]LMP IN PPT'!$A25='[1]LMP IN MST'!$A23,'[1]LMP IN MST'!$Z23="ST",'[1]LMP IN MST'!$AA23="NORM",'[1]LMP IN MST'!$AB23="NOV"),'[1]LMP IN PPT'!Y25,IF(AND('[1]LMP IN PPT'!$A25='[1]LMP IN MST'!$A23,'[1]LMP IN MST'!$Z23="DST",'[1]LMP IN MST'!$AA23="SF",'[1]LMP IN MST'!$AB23="MAR"),'[1]LMP IN PPT'!Y25,IF(AND('[1]LMP IN PPT'!$A25='[1]LMP IN MST'!$A23,'[1]LMP IN MST'!$Z23="DST",'[1]LMP IN MST'!$AA23="NORM",'[1]LMP IN MST'!$AB23="NOV"),'[1]LMP IN PPT'!Z25,IF(AND('[1]LMP IN PPT'!$A25='[1]LMP IN MST'!$A23,'[1]LMP IN MST'!$Z23="DST",'[1]LMP IN MST'!$AA23="NORM",OR('[1]LMP IN MST'!$AB23="MAR",'[1]LMP IN MST'!$AB23="")),'[1]LMP IN PPT'!Y25,0))))))</f>
        <v>38.936520000000002</v>
      </c>
      <c r="W23">
        <f>IF(AND('[1]LMP IN PPT'!$A25='[1]LMP IN MST'!$A23,'[1]LMP IN MST'!$Z23="ST",'[1]LMP IN MST'!$AA23="NORM",OR('[1]LMP IN MST'!$AB23="MAR",'[1]LMP IN MST'!$AB23="")),'[1]LMP IN PPT'!Y25,IF(AND('[1]LMP IN PPT'!$A25='[1]LMP IN MST'!$A23,'[1]LMP IN MST'!$Z23="DST",'[1]LMP IN MST'!$AA23="FB",'[1]LMP IN MST'!$AB23="NOV"),'[1]LMP IN PPT'!Z25,IF(AND('[1]LMP IN PPT'!$A25='[1]LMP IN MST'!$A23,'[1]LMP IN MST'!$Z23="ST",'[1]LMP IN MST'!$AA23="NORM",'[1]LMP IN MST'!$AB23="NOV"),'[1]LMP IN PPT'!Z25,IF(AND('[1]LMP IN PPT'!$A25='[1]LMP IN MST'!$A23,'[1]LMP IN MST'!$Z23="DST",'[1]LMP IN MST'!$AA23="SF",'[1]LMP IN MST'!$AB23="MAR"),'[1]LMP IN PPT'!Z25,IF(AND('[1]LMP IN PPT'!$A25='[1]LMP IN MST'!$A23,'[1]LMP IN MST'!$Z23="DST",'[1]LMP IN MST'!$AA23="NORM",'[1]LMP IN MST'!$AB23="NOV"),'[1]LMP IN PPT'!AA25,IF(AND('[1]LMP IN PPT'!$A25='[1]LMP IN MST'!$A23,'[1]LMP IN MST'!$Z23="DST",'[1]LMP IN MST'!$AA23="NORM",OR('[1]LMP IN MST'!$AB23="MAR",'[1]LMP IN MST'!$AB23="")),'[1]LMP IN PPT'!Z25,0))))))</f>
        <v>39.000700000000002</v>
      </c>
      <c r="X23">
        <f>IF(AND('[1]LMP IN PPT'!$A25='[1]LMP IN MST'!$A23,'[1]LMP IN MST'!$Z23="ST",'[1]LMP IN MST'!$AA23="NORM",OR('[1]LMP IN MST'!$AB23="MAR",'[1]LMP IN MST'!$AB23="")),'[1]LMP IN PPT'!Z25,IF(AND('[1]LMP IN PPT'!$A25='[1]LMP IN MST'!$A23,'[1]LMP IN MST'!$Z23="DST",'[1]LMP IN MST'!$AA23="FB",'[1]LMP IN MST'!$AB23="NOV"),'[1]LMP IN PPT'!AA25,IF(AND('[1]LMP IN PPT'!$A25='[1]LMP IN MST'!$A23,'[1]LMP IN MST'!$Z23="ST",'[1]LMP IN MST'!$AA23="NORM",'[1]LMP IN MST'!$AB23="NOV"),'[1]LMP IN PPT'!AA25,IF(AND('[1]LMP IN PPT'!$A25='[1]LMP IN MST'!$A23,'[1]LMP IN MST'!$Z23="DST",'[1]LMP IN MST'!$AA23="SF",'[1]LMP IN MST'!$AB23="MAR"),'[1]LMP IN PPT'!AA25,IF(AND('[1]LMP IN PPT'!$A25='[1]LMP IN MST'!$A23,'[1]LMP IN MST'!$Z23="DST",'[1]LMP IN MST'!$AA23="NORM",'[1]LMP IN MST'!$AB23="NOV"),'[1]LMP IN PPT'!AB25,IF(AND('[1]LMP IN PPT'!$A25='[1]LMP IN MST'!$A23,'[1]LMP IN MST'!$Z23="DST",'[1]LMP IN MST'!$AA23="NORM",OR('[1]LMP IN MST'!$AB23="MAR",'[1]LMP IN MST'!$AB23="")),'[1]LMP IN PPT'!AA25,0))))))</f>
        <v>37.722760000000001</v>
      </c>
      <c r="Y23">
        <f>IF(AND('[1]LMP IN PPT'!$A25='[1]LMP IN MST'!$A23,'[1]LMP IN MST'!$Z23="ST",'[1]LMP IN MST'!$AA23="NORM",OR('[1]LMP IN MST'!$AB23="MAR",'[1]LMP IN MST'!$AB23="")),'[1]LMP IN PPT'!AA25,IF(AND('[1]LMP IN PPT'!$A25='[1]LMP IN MST'!$A23,'[1]LMP IN MST'!$Z23="DST",'[1]LMP IN MST'!$AA23="FB",'[1]LMP IN MST'!$AB23="NOV"),'[1]LMP IN PPT'!AB25,IF(AND('[1]LMP IN PPT'!$A25='[1]LMP IN MST'!$A23,'[1]LMP IN MST'!$Z23="ST",'[1]LMP IN MST'!$AA23="NORM",'[1]LMP IN MST'!$AB23="NOV"),'[1]LMP IN PPT'!AB25,IF(AND('[1]LMP IN PPT'!$A25='[1]LMP IN MST'!$A23,'[1]LMP IN MST'!$Z23="DST",'[1]LMP IN MST'!$AA23="SF",'[1]LMP IN MST'!$AB23="MAR"),'[1]LMP IN PPT'!AB25,IF(AND('[1]LMP IN PPT'!$A25='[1]LMP IN MST'!$A23,'[1]LMP IN MST'!$Z23="DST",'[1]LMP IN MST'!$AA23="NORM",'[1]LMP IN MST'!$AB23="NOV"),'[1]LMP IN PPT'!AC25,IF(AND('[1]LMP IN PPT'!$A25='[1]LMP IN MST'!$A23,'[1]LMP IN MST'!$Z23="DST",'[1]LMP IN MST'!$AA23="NORM",OR('[1]LMP IN MST'!$AB23="MAR",'[1]LMP IN MST'!$AB23="")),'[1]LMP IN PPT'!AB25,0))))))</f>
        <v>37.55518</v>
      </c>
    </row>
    <row r="24" spans="1:25" x14ac:dyDescent="0.3">
      <c r="A24" s="1">
        <f t="shared" si="0"/>
        <v>45374</v>
      </c>
      <c r="B24">
        <f>IF(AND('[1]LMP IN PPT'!$A26='[1]LMP IN MST'!$A24,'[1]LMP IN MST'!$Z24="ST",'[1]LMP IN MST'!$AA24="NORM",'[1]LMP IN MST'!$AB24="NOV"),'[1]LMP IN PPT'!AC25,IF(AND('[1]LMP IN PPT'!$A26='[1]LMP IN MST'!$A24,'[1]LMP IN MST'!$Z24="ST",'[1]LMP IN MST'!$AA24="NORM",'[1]LMP IN MST'!$AB24="MAR"),'[1]LMP IN PPT'!AB25,IF(AND('[1]LMP IN PPT'!$A26='[1]LMP IN MST'!$A24,'[1]LMP IN MST'!$Z24="ST",'[1]LMP IN MST'!$AA24="NORM",'[1]LMP IN MST'!$AB24=""),'[1]LMP IN PPT'!AB25,IF(AND('[1]LMP IN PPT'!$A26='[1]LMP IN MST'!$A24,'[1]LMP IN MST'!$Z24="DST",'[1]LMP IN MST'!$AA24="FB",'[1]LMP IN MST'!$AB24="NOV"),'[1]LMP IN PPT'!E26,IF(AND('[1]LMP IN PPT'!$A26='[1]LMP IN MST'!$A24,'[1]LMP IN MST'!$Z24="DST",'[1]LMP IN MST'!$AA24="SF",'[1]LMP IN MST'!$AB24="MAR"),'[1]LMP IN PPT'!AB25,IF(AND('[1]LMP IN PPT'!$A26='[1]LMP IN MST'!$A24,'[1]LMP IN MST'!$Z24="DST",'[1]LMP IN MST'!$AA24="NORM",OR('[1]LMP IN MST'!$AB24="MAR",'[1]LMP IN MST'!$AB24="",'[1]LMP IN MST'!$AB24="NOV")),'[1]LMP IN PPT'!E26,0))))))</f>
        <v>28.107669999999999</v>
      </c>
      <c r="C24">
        <f>IF(AND('[1]LMP IN PPT'!$A26='[1]LMP IN MST'!$A24,'[1]LMP IN MST'!$Z24="ST",'[1]LMP IN MST'!$AA24="NORM",OR('[1]LMP IN MST'!$AB24="NOV",'[1]LMP IN MST'!$AB24="MAR",'[1]LMP IN MST'!$AB24="")),'[1]LMP IN PPT'!E26,IF(AND('[1]LMP IN PPT'!$A26='[1]LMP IN MST'!$A24,'[1]LMP IN MST'!$Z24="DST",'[1]LMP IN MST'!$AA24="FB",'[1]LMP IN MST'!$AB24="NOV"),'[1]LMP IN PPT'!F26,IF(AND('[1]LMP IN PPT'!$A26='[1]LMP IN MST'!$A24,'[1]LMP IN MST'!$Z24="DST",'[1]LMP IN MST'!$AA24="SF",'[1]LMP IN MST'!$AB24="MAR"),'[1]LMP IN PPT'!E26,IF(AND('[1]LMP IN PPT'!$A26='[1]LMP IN MST'!$A24,'[1]LMP IN MST'!$Z24="DST",'[1]LMP IN MST'!$AA24="NORM",OR('[1]LMP IN MST'!$AB24="MAR",'[1]LMP IN MST'!$AB24="",'[1]LMP IN MST'!$AB24="NOV")),'[1]LMP IN PPT'!F26,0))))</f>
        <v>28.179860000000001</v>
      </c>
      <c r="D24">
        <f>IF(AND('[1]LMP IN PPT'!$A26='[1]LMP IN MST'!$A24,'[1]LMP IN MST'!$Z24="ST",'[1]LMP IN MST'!$AA24="NORM",OR('[1]LMP IN MST'!$AB24="NOV",'[1]LMP IN MST'!$AB24="MAR",'[1]LMP IN MST'!$AB24="")),'[1]LMP IN PPT'!F26,IF(AND('[1]LMP IN PPT'!$A26='[1]LMP IN MST'!$A24,'[1]LMP IN MST'!$Z24="DST",'[1]LMP IN MST'!$AA24="FB",'[1]LMP IN MST'!$AB24="NOV"),'[1]LMP IN PPT'!G26,IF(AND('[1]LMP IN PPT'!$A26='[1]LMP IN MST'!$A24,'[1]LMP IN MST'!$Z24="DST",'[1]LMP IN MST'!$AA24="SF",'[1]LMP IN MST'!$AB24="MAR"),'[1]LMP IN PPT'!F26,IF(AND('[1]LMP IN PPT'!$A26='[1]LMP IN MST'!$A24,'[1]LMP IN MST'!$Z24="DST",'[1]LMP IN MST'!$AA24="NORM",'[1]LMP IN MST'!$AB24="NOV"),'[1]LMP IN PPT'!H26,IF(AND('[1]LMP IN PPT'!$A26='[1]LMP IN MST'!$A24,'[1]LMP IN MST'!$Z24="DST",'[1]LMP IN MST'!$AA24="NORM",OR('[1]LMP IN MST'!$AB24="MAR",'[1]LMP IN MST'!$AB24="")),'[1]LMP IN PPT'!G26,0)))))</f>
        <v>27.970790000000001</v>
      </c>
      <c r="E24">
        <f>IF(AND('[1]LMP IN PPT'!$A26='[1]LMP IN MST'!$A24,'[1]LMP IN MST'!$Z24="ST",'[1]LMP IN MST'!$AA24="NORM",OR('[1]LMP IN MST'!$AB24="MAR",'[1]LMP IN MST'!$AB24="")),'[1]LMP IN PPT'!G26,IF(AND('[1]LMP IN PPT'!$A26='[1]LMP IN MST'!$A24,'[1]LMP IN MST'!$Z24="DST",'[1]LMP IN MST'!$AA24="FB",'[1]LMP IN MST'!$AB24="NOV"),'[1]LMP IN PPT'!H26,IF(AND('[1]LMP IN PPT'!$A26='[1]LMP IN MST'!$A24,'[1]LMP IN MST'!$Z24="ST",'[1]LMP IN MST'!$AA24="NORM",'[1]LMP IN MST'!$AB24="NOV"),'[1]LMP IN PPT'!H26,IF(AND('[1]LMP IN PPT'!$A26='[1]LMP IN MST'!$A24,'[1]LMP IN MST'!$Z24="DST",'[1]LMP IN MST'!$AA24="SF",'[1]LMP IN MST'!$AB24="MAR"),'[1]LMP IN PPT'!H26,IF(AND('[1]LMP IN PPT'!$A26='[1]LMP IN MST'!$A24,'[1]LMP IN MST'!$Z24="DST",'[1]LMP IN MST'!$AA24="NORM",'[1]LMP IN MST'!$AB24="NOV"),'[1]LMP IN PPT'!I26,IF(AND('[1]LMP IN PPT'!$A26='[1]LMP IN MST'!$A24,'[1]LMP IN MST'!$Z24="DST",'[1]LMP IN MST'!$AA24="NORM",OR('[1]LMP IN MST'!$AB24="MAR",'[1]LMP IN MST'!$AB24="")),'[1]LMP IN PPT'!H26,0))))))</f>
        <v>27.360980000000001</v>
      </c>
      <c r="F24">
        <f>IF(AND('[1]LMP IN PPT'!$A26='[1]LMP IN MST'!$A24,'[1]LMP IN MST'!$Z24="ST",'[1]LMP IN MST'!$AA24="NORM",OR('[1]LMP IN MST'!$AB24="MAR",'[1]LMP IN MST'!$AB24="")),'[1]LMP IN PPT'!H26,IF(AND('[1]LMP IN PPT'!$A26='[1]LMP IN MST'!$A24,'[1]LMP IN MST'!$Z24="DST",'[1]LMP IN MST'!$AA24="FB",'[1]LMP IN MST'!$AB24="NOV"),'[1]LMP IN PPT'!I26,IF(AND('[1]LMP IN PPT'!$A26='[1]LMP IN MST'!$A24,'[1]LMP IN MST'!$Z24="ST",'[1]LMP IN MST'!$AA24="NORM",'[1]LMP IN MST'!$AB24="NOV"),'[1]LMP IN PPT'!I26,IF(AND('[1]LMP IN PPT'!$A26='[1]LMP IN MST'!$A24,'[1]LMP IN MST'!$Z24="DST",'[1]LMP IN MST'!$AA24="SF",'[1]LMP IN MST'!$AB24="MAR"),'[1]LMP IN PPT'!I26,IF(AND('[1]LMP IN PPT'!$A26='[1]LMP IN MST'!$A24,'[1]LMP IN MST'!$Z24="DST",'[1]LMP IN MST'!$AA24="NORM",'[1]LMP IN MST'!$AB24="NOV"),'[1]LMP IN PPT'!J26,IF(AND('[1]LMP IN PPT'!$A26='[1]LMP IN MST'!$A24,'[1]LMP IN MST'!$Z24="DST",'[1]LMP IN MST'!$AA24="NORM",OR('[1]LMP IN MST'!$AB24="MAR",'[1]LMP IN MST'!$AB24="")),'[1]LMP IN PPT'!I26,0))))))</f>
        <v>28.062360000000002</v>
      </c>
      <c r="G24">
        <f>IF(AND('[1]LMP IN PPT'!$A26='[1]LMP IN MST'!$A24,'[1]LMP IN MST'!$Z24="ST",'[1]LMP IN MST'!$AA24="NORM",OR('[1]LMP IN MST'!$AB24="MAR",'[1]LMP IN MST'!$AB24="")),'[1]LMP IN PPT'!I26,IF(AND('[1]LMP IN PPT'!$A26='[1]LMP IN MST'!$A24,'[1]LMP IN MST'!$Z24="DST",'[1]LMP IN MST'!$AA24="FB",'[1]LMP IN MST'!$AB24="NOV"),'[1]LMP IN PPT'!J26,IF(AND('[1]LMP IN PPT'!$A26='[1]LMP IN MST'!$A24,'[1]LMP IN MST'!$Z24="ST",'[1]LMP IN MST'!$AA24="NORM",'[1]LMP IN MST'!$AB24="NOV"),'[1]LMP IN PPT'!J26,IF(AND('[1]LMP IN PPT'!$A26='[1]LMP IN MST'!$A24,'[1]LMP IN MST'!$Z24="DST",'[1]LMP IN MST'!$AA24="SF",'[1]LMP IN MST'!$AB24="MAR"),'[1]LMP IN PPT'!J26,IF(AND('[1]LMP IN PPT'!$A26='[1]LMP IN MST'!$A24,'[1]LMP IN MST'!$Z24="DST",'[1]LMP IN MST'!$AA24="NORM",'[1]LMP IN MST'!$AB24="NOV"),'[1]LMP IN PPT'!K26,IF(AND('[1]LMP IN PPT'!$A26='[1]LMP IN MST'!$A24,'[1]LMP IN MST'!$Z24="DST",'[1]LMP IN MST'!$AA24="NORM",OR('[1]LMP IN MST'!$AB24="MAR",'[1]LMP IN MST'!$AB24="")),'[1]LMP IN PPT'!J26,0))))))</f>
        <v>28.219639999999998</v>
      </c>
      <c r="H24">
        <f>IF(AND('[1]LMP IN PPT'!$A26='[1]LMP IN MST'!$A24,'[1]LMP IN MST'!$Z24="ST",'[1]LMP IN MST'!$AA24="NORM",OR('[1]LMP IN MST'!$AB24="MAR",'[1]LMP IN MST'!$AB24="")),'[1]LMP IN PPT'!J26,IF(AND('[1]LMP IN PPT'!$A26='[1]LMP IN MST'!$A24,'[1]LMP IN MST'!$Z24="DST",'[1]LMP IN MST'!$AA24="FB",'[1]LMP IN MST'!$AB24="NOV"),'[1]LMP IN PPT'!K26,IF(AND('[1]LMP IN PPT'!$A26='[1]LMP IN MST'!$A24,'[1]LMP IN MST'!$Z24="ST",'[1]LMP IN MST'!$AA24="NORM",'[1]LMP IN MST'!$AB24="NOV"),'[1]LMP IN PPT'!K26,IF(AND('[1]LMP IN PPT'!$A26='[1]LMP IN MST'!$A24,'[1]LMP IN MST'!$Z24="DST",'[1]LMP IN MST'!$AA24="SF",'[1]LMP IN MST'!$AB24="MAR"),'[1]LMP IN PPT'!K26,IF(AND('[1]LMP IN PPT'!$A26='[1]LMP IN MST'!$A24,'[1]LMP IN MST'!$Z24="DST",'[1]LMP IN MST'!$AA24="NORM",'[1]LMP IN MST'!$AB24="NOV"),'[1]LMP IN PPT'!L26,IF(AND('[1]LMP IN PPT'!$A26='[1]LMP IN MST'!$A24,'[1]LMP IN MST'!$Z24="DST",'[1]LMP IN MST'!$AA24="NORM",OR('[1]LMP IN MST'!$AB24="MAR",'[1]LMP IN MST'!$AB24="")),'[1]LMP IN PPT'!K26,0))))))</f>
        <v>32.67483</v>
      </c>
      <c r="I24">
        <f>IF(AND('[1]LMP IN PPT'!$A26='[1]LMP IN MST'!$A24,'[1]LMP IN MST'!$Z24="ST",'[1]LMP IN MST'!$AA24="NORM",OR('[1]LMP IN MST'!$AB24="MAR",'[1]LMP IN MST'!$AB24="")),'[1]LMP IN PPT'!K26,IF(AND('[1]LMP IN PPT'!$A26='[1]LMP IN MST'!$A24,'[1]LMP IN MST'!$Z24="DST",'[1]LMP IN MST'!$AA24="FB",'[1]LMP IN MST'!$AB24="NOV"),'[1]LMP IN PPT'!L26,IF(AND('[1]LMP IN PPT'!$A26='[1]LMP IN MST'!$A24,'[1]LMP IN MST'!$Z24="ST",'[1]LMP IN MST'!$AA24="NORM",'[1]LMP IN MST'!$AB24="NOV"),'[1]LMP IN PPT'!L26,IF(AND('[1]LMP IN PPT'!$A26='[1]LMP IN MST'!$A24,'[1]LMP IN MST'!$Z24="DST",'[1]LMP IN MST'!$AA24="SF",'[1]LMP IN MST'!$AB24="MAR"),'[1]LMP IN PPT'!L26,IF(AND('[1]LMP IN PPT'!$A26='[1]LMP IN MST'!$A24,'[1]LMP IN MST'!$Z24="DST",'[1]LMP IN MST'!$AA24="NORM",'[1]LMP IN MST'!$AB24="NOV"),'[1]LMP IN PPT'!M26,IF(AND('[1]LMP IN PPT'!$A26='[1]LMP IN MST'!$A24,'[1]LMP IN MST'!$Z24="DST",'[1]LMP IN MST'!$AA24="NORM",OR('[1]LMP IN MST'!$AB24="MAR",'[1]LMP IN MST'!$AB24="")),'[1]LMP IN PPT'!L26,0))))))</f>
        <v>32.37764</v>
      </c>
      <c r="J24">
        <f>IF(AND('[1]LMP IN PPT'!$A26='[1]LMP IN MST'!$A24,'[1]LMP IN MST'!$Z24="ST",'[1]LMP IN MST'!$AA24="NORM",OR('[1]LMP IN MST'!$AB24="MAR",'[1]LMP IN MST'!$AB24="")),'[1]LMP IN PPT'!L26,IF(AND('[1]LMP IN PPT'!$A26='[1]LMP IN MST'!$A24,'[1]LMP IN MST'!$Z24="DST",'[1]LMP IN MST'!$AA24="FB",'[1]LMP IN MST'!$AB24="NOV"),'[1]LMP IN PPT'!M26,IF(AND('[1]LMP IN PPT'!$A26='[1]LMP IN MST'!$A24,'[1]LMP IN MST'!$Z24="ST",'[1]LMP IN MST'!$AA24="NORM",'[1]LMP IN MST'!$AB24="NOV"),'[1]LMP IN PPT'!M26,IF(AND('[1]LMP IN PPT'!$A26='[1]LMP IN MST'!$A24,'[1]LMP IN MST'!$Z24="DST",'[1]LMP IN MST'!$AA24="SF",'[1]LMP IN MST'!$AB24="MAR"),'[1]LMP IN PPT'!M26,IF(AND('[1]LMP IN PPT'!$A26='[1]LMP IN MST'!$A24,'[1]LMP IN MST'!$Z24="DST",'[1]LMP IN MST'!$AA24="NORM",'[1]LMP IN MST'!$AB24="NOV"),'[1]LMP IN PPT'!N26,IF(AND('[1]LMP IN PPT'!$A26='[1]LMP IN MST'!$A24,'[1]LMP IN MST'!$Z24="DST",'[1]LMP IN MST'!$AA24="NORM",OR('[1]LMP IN MST'!$AB24="MAR",'[1]LMP IN MST'!$AB24="")),'[1]LMP IN PPT'!M26,0))))))</f>
        <v>27.976859999999999</v>
      </c>
      <c r="K24">
        <f>IF(AND('[1]LMP IN PPT'!$A26='[1]LMP IN MST'!$A24,'[1]LMP IN MST'!$Z24="ST",'[1]LMP IN MST'!$AA24="NORM",OR('[1]LMP IN MST'!$AB24="MAR",'[1]LMP IN MST'!$AB24="")),'[1]LMP IN PPT'!M26,IF(AND('[1]LMP IN PPT'!$A26='[1]LMP IN MST'!$A24,'[1]LMP IN MST'!$Z24="DST",'[1]LMP IN MST'!$AA24="FB",'[1]LMP IN MST'!$AB24="NOV"),'[1]LMP IN PPT'!N26,IF(AND('[1]LMP IN PPT'!$A26='[1]LMP IN MST'!$A24,'[1]LMP IN MST'!$Z24="ST",'[1]LMP IN MST'!$AA24="NORM",'[1]LMP IN MST'!$AB24="NOV"),'[1]LMP IN PPT'!N26,IF(AND('[1]LMP IN PPT'!$A26='[1]LMP IN MST'!$A24,'[1]LMP IN MST'!$Z24="DST",'[1]LMP IN MST'!$AA24="SF",'[1]LMP IN MST'!$AB24="MAR"),'[1]LMP IN PPT'!N26,IF(AND('[1]LMP IN PPT'!$A26='[1]LMP IN MST'!$A24,'[1]LMP IN MST'!$Z24="DST",'[1]LMP IN MST'!$AA24="NORM",'[1]LMP IN MST'!$AB24="NOV"),'[1]LMP IN PPT'!O26,IF(AND('[1]LMP IN PPT'!$A26='[1]LMP IN MST'!$A24,'[1]LMP IN MST'!$Z24="DST",'[1]LMP IN MST'!$AA24="NORM",OR('[1]LMP IN MST'!$AB24="MAR",'[1]LMP IN MST'!$AB24="")),'[1]LMP IN PPT'!N26,0))))))</f>
        <v>21.40118</v>
      </c>
      <c r="L24">
        <f>IF(AND('[1]LMP IN PPT'!$A26='[1]LMP IN MST'!$A24,'[1]LMP IN MST'!$Z24="ST",'[1]LMP IN MST'!$AA24="NORM",OR('[1]LMP IN MST'!$AB24="MAR",'[1]LMP IN MST'!$AB24="")),'[1]LMP IN PPT'!N26,IF(AND('[1]LMP IN PPT'!$A26='[1]LMP IN MST'!$A24,'[1]LMP IN MST'!$Z24="DST",'[1]LMP IN MST'!$AA24="FB",'[1]LMP IN MST'!$AB24="NOV"),'[1]LMP IN PPT'!O26,IF(AND('[1]LMP IN PPT'!$A26='[1]LMP IN MST'!$A24,'[1]LMP IN MST'!$Z24="ST",'[1]LMP IN MST'!$AA24="NORM",'[1]LMP IN MST'!$AB24="NOV"),'[1]LMP IN PPT'!O26,IF(AND('[1]LMP IN PPT'!$A26='[1]LMP IN MST'!$A24,'[1]LMP IN MST'!$Z24="DST",'[1]LMP IN MST'!$AA24="SF",'[1]LMP IN MST'!$AB24="MAR"),'[1]LMP IN PPT'!O26,IF(AND('[1]LMP IN PPT'!$A26='[1]LMP IN MST'!$A24,'[1]LMP IN MST'!$Z24="DST",'[1]LMP IN MST'!$AA24="NORM",'[1]LMP IN MST'!$AB24="NOV"),'[1]LMP IN PPT'!P26,IF(AND('[1]LMP IN PPT'!$A26='[1]LMP IN MST'!$A24,'[1]LMP IN MST'!$Z24="DST",'[1]LMP IN MST'!$AA24="NORM",OR('[1]LMP IN MST'!$AB24="MAR",'[1]LMP IN MST'!$AB24="")),'[1]LMP IN PPT'!O26,0))))))</f>
        <v>10.10186</v>
      </c>
      <c r="M24">
        <f>IF(AND('[1]LMP IN PPT'!$A26='[1]LMP IN MST'!$A24,'[1]LMP IN MST'!$Z24="ST",'[1]LMP IN MST'!$AA24="NORM",OR('[1]LMP IN MST'!$AB24="MAR",'[1]LMP IN MST'!$AB24="")),'[1]LMP IN PPT'!O26,IF(AND('[1]LMP IN PPT'!$A26='[1]LMP IN MST'!$A24,'[1]LMP IN MST'!$Z24="DST",'[1]LMP IN MST'!$AA24="FB",'[1]LMP IN MST'!$AB24="NOV"),'[1]LMP IN PPT'!P26,IF(AND('[1]LMP IN PPT'!$A26='[1]LMP IN MST'!$A24,'[1]LMP IN MST'!$Z24="ST",'[1]LMP IN MST'!$AA24="NORM",'[1]LMP IN MST'!$AB24="NOV"),'[1]LMP IN PPT'!P26,IF(AND('[1]LMP IN PPT'!$A26='[1]LMP IN MST'!$A24,'[1]LMP IN MST'!$Z24="DST",'[1]LMP IN MST'!$AA24="SF",'[1]LMP IN MST'!$AB24="MAR"),'[1]LMP IN PPT'!P26,IF(AND('[1]LMP IN PPT'!$A26='[1]LMP IN MST'!$A24,'[1]LMP IN MST'!$Z24="DST",'[1]LMP IN MST'!$AA24="NORM",'[1]LMP IN MST'!$AB24="NOV"),'[1]LMP IN PPT'!Q26,IF(AND('[1]LMP IN PPT'!$A26='[1]LMP IN MST'!$A24,'[1]LMP IN MST'!$Z24="DST",'[1]LMP IN MST'!$AA24="NORM",OR('[1]LMP IN MST'!$AB24="MAR",'[1]LMP IN MST'!$AB24="")),'[1]LMP IN PPT'!P26,0))))))</f>
        <v>1.22312</v>
      </c>
      <c r="N24">
        <f>IF(AND('[1]LMP IN PPT'!$A26='[1]LMP IN MST'!$A24,'[1]LMP IN MST'!$Z24="ST",'[1]LMP IN MST'!$AA24="NORM",OR('[1]LMP IN MST'!$AB24="MAR",'[1]LMP IN MST'!$AB24="")),'[1]LMP IN PPT'!P26,IF(AND('[1]LMP IN PPT'!$A26='[1]LMP IN MST'!$A24,'[1]LMP IN MST'!$Z24="DST",'[1]LMP IN MST'!$AA24="FB",'[1]LMP IN MST'!$AB24="NOV"),'[1]LMP IN PPT'!Q26,IF(AND('[1]LMP IN PPT'!$A26='[1]LMP IN MST'!$A24,'[1]LMP IN MST'!$Z24="ST",'[1]LMP IN MST'!$AA24="NORM",'[1]LMP IN MST'!$AB24="NOV"),'[1]LMP IN PPT'!Q26,IF(AND('[1]LMP IN PPT'!$A26='[1]LMP IN MST'!$A24,'[1]LMP IN MST'!$Z24="DST",'[1]LMP IN MST'!$AA24="SF",'[1]LMP IN MST'!$AB24="MAR"),'[1]LMP IN PPT'!Q26,IF(AND('[1]LMP IN PPT'!$A26='[1]LMP IN MST'!$A24,'[1]LMP IN MST'!$Z24="DST",'[1]LMP IN MST'!$AA24="NORM",'[1]LMP IN MST'!$AB24="NOV"),'[1]LMP IN PPT'!R26,IF(AND('[1]LMP IN PPT'!$A26='[1]LMP IN MST'!$A24,'[1]LMP IN MST'!$Z24="DST",'[1]LMP IN MST'!$AA24="NORM",OR('[1]LMP IN MST'!$AB24="MAR",'[1]LMP IN MST'!$AB24="")),'[1]LMP IN PPT'!Q26,0))))))</f>
        <v>-9.6674699999999998</v>
      </c>
      <c r="O24">
        <f>IF(AND('[1]LMP IN PPT'!$A26='[1]LMP IN MST'!$A24,'[1]LMP IN MST'!$Z24="ST",'[1]LMP IN MST'!$AA24="NORM",OR('[1]LMP IN MST'!$AB24="MAR",'[1]LMP IN MST'!$AB24="")),'[1]LMP IN PPT'!Q26,IF(AND('[1]LMP IN PPT'!$A26='[1]LMP IN MST'!$A24,'[1]LMP IN MST'!$Z24="DST",'[1]LMP IN MST'!$AA24="FB",'[1]LMP IN MST'!$AB24="NOV"),'[1]LMP IN PPT'!R26,IF(AND('[1]LMP IN PPT'!$A26='[1]LMP IN MST'!$A24,'[1]LMP IN MST'!$Z24="ST",'[1]LMP IN MST'!$AA24="NORM",'[1]LMP IN MST'!$AB24="NOV"),'[1]LMP IN PPT'!R26,IF(AND('[1]LMP IN PPT'!$A26='[1]LMP IN MST'!$A24,'[1]LMP IN MST'!$Z24="DST",'[1]LMP IN MST'!$AA24="SF",'[1]LMP IN MST'!$AB24="MAR"),'[1]LMP IN PPT'!R26,IF(AND('[1]LMP IN PPT'!$A26='[1]LMP IN MST'!$A24,'[1]LMP IN MST'!$Z24="DST",'[1]LMP IN MST'!$AA24="NORM",'[1]LMP IN MST'!$AB24="NOV"),'[1]LMP IN PPT'!S26,IF(AND('[1]LMP IN PPT'!$A26='[1]LMP IN MST'!$A24,'[1]LMP IN MST'!$Z24="DST",'[1]LMP IN MST'!$AA24="NORM",OR('[1]LMP IN MST'!$AB24="MAR",'[1]LMP IN MST'!$AB24="")),'[1]LMP IN PPT'!R26,0))))))</f>
        <v>-13.86528</v>
      </c>
      <c r="P24">
        <f>IF(AND('[1]LMP IN PPT'!$A26='[1]LMP IN MST'!$A24,'[1]LMP IN MST'!$Z24="ST",'[1]LMP IN MST'!$AA24="NORM",OR('[1]LMP IN MST'!$AB24="MAR",'[1]LMP IN MST'!$AB24="")),'[1]LMP IN PPT'!R26,IF(AND('[1]LMP IN PPT'!$A26='[1]LMP IN MST'!$A24,'[1]LMP IN MST'!$Z24="DST",'[1]LMP IN MST'!$AA24="FB",'[1]LMP IN MST'!$AB24="NOV"),'[1]LMP IN PPT'!S26,IF(AND('[1]LMP IN PPT'!$A26='[1]LMP IN MST'!$A24,'[1]LMP IN MST'!$Z24="ST",'[1]LMP IN MST'!$AA24="NORM",'[1]LMP IN MST'!$AB24="NOV"),'[1]LMP IN PPT'!S26,IF(AND('[1]LMP IN PPT'!$A26='[1]LMP IN MST'!$A24,'[1]LMP IN MST'!$Z24="DST",'[1]LMP IN MST'!$AA24="SF",'[1]LMP IN MST'!$AB24="MAR"),'[1]LMP IN PPT'!S26,IF(AND('[1]LMP IN PPT'!$A26='[1]LMP IN MST'!$A24,'[1]LMP IN MST'!$Z24="DST",'[1]LMP IN MST'!$AA24="NORM",'[1]LMP IN MST'!$AB24="NOV"),'[1]LMP IN PPT'!T26,IF(AND('[1]LMP IN PPT'!$A26='[1]LMP IN MST'!$A24,'[1]LMP IN MST'!$Z24="DST",'[1]LMP IN MST'!$AA24="NORM",OR('[1]LMP IN MST'!$AB24="MAR",'[1]LMP IN MST'!$AB24="")),'[1]LMP IN PPT'!S26,0))))))</f>
        <v>-11.81245</v>
      </c>
      <c r="Q24">
        <f>IF(AND('[1]LMP IN PPT'!$A26='[1]LMP IN MST'!$A24,'[1]LMP IN MST'!$Z24="ST",'[1]LMP IN MST'!$AA24="NORM",OR('[1]LMP IN MST'!$AB24="MAR",'[1]LMP IN MST'!$AB24="")),'[1]LMP IN PPT'!S26,IF(AND('[1]LMP IN PPT'!$A26='[1]LMP IN MST'!$A24,'[1]LMP IN MST'!$Z24="DST",'[1]LMP IN MST'!$AA24="FB",'[1]LMP IN MST'!$AB24="NOV"),'[1]LMP IN PPT'!T26,IF(AND('[1]LMP IN PPT'!$A26='[1]LMP IN MST'!$A24,'[1]LMP IN MST'!$Z24="ST",'[1]LMP IN MST'!$AA24="NORM",'[1]LMP IN MST'!$AB24="NOV"),'[1]LMP IN PPT'!T26,IF(AND('[1]LMP IN PPT'!$A26='[1]LMP IN MST'!$A24,'[1]LMP IN MST'!$Z24="DST",'[1]LMP IN MST'!$AA24="SF",'[1]LMP IN MST'!$AB24="MAR"),'[1]LMP IN PPT'!T26,IF(AND('[1]LMP IN PPT'!$A26='[1]LMP IN MST'!$A24,'[1]LMP IN MST'!$Z24="DST",'[1]LMP IN MST'!$AA24="NORM",'[1]LMP IN MST'!$AB24="NOV"),'[1]LMP IN PPT'!U26,IF(AND('[1]LMP IN PPT'!$A26='[1]LMP IN MST'!$A24,'[1]LMP IN MST'!$Z24="DST",'[1]LMP IN MST'!$AA24="NORM",OR('[1]LMP IN MST'!$AB24="MAR",'[1]LMP IN MST'!$AB24="")),'[1]LMP IN PPT'!T26,0))))))</f>
        <v>-10.677569999999999</v>
      </c>
      <c r="R24">
        <f>IF(AND('[1]LMP IN PPT'!$A26='[1]LMP IN MST'!$A24,'[1]LMP IN MST'!$Z24="ST",'[1]LMP IN MST'!$AA24="NORM",OR('[1]LMP IN MST'!$AB24="MAR",'[1]LMP IN MST'!$AB24="")),'[1]LMP IN PPT'!T26,IF(AND('[1]LMP IN PPT'!$A26='[1]LMP IN MST'!$A24,'[1]LMP IN MST'!$Z24="DST",'[1]LMP IN MST'!$AA24="FB",'[1]LMP IN MST'!$AB24="NOV"),'[1]LMP IN PPT'!U26,IF(AND('[1]LMP IN PPT'!$A26='[1]LMP IN MST'!$A24,'[1]LMP IN MST'!$Z24="ST",'[1]LMP IN MST'!$AA24="NORM",'[1]LMP IN MST'!$AB24="NOV"),'[1]LMP IN PPT'!U26,IF(AND('[1]LMP IN PPT'!$A26='[1]LMP IN MST'!$A24,'[1]LMP IN MST'!$Z24="DST",'[1]LMP IN MST'!$AA24="SF",'[1]LMP IN MST'!$AB24="MAR"),'[1]LMP IN PPT'!U26,IF(AND('[1]LMP IN PPT'!$A26='[1]LMP IN MST'!$A24,'[1]LMP IN MST'!$Z24="DST",'[1]LMP IN MST'!$AA24="NORM",'[1]LMP IN MST'!$AB24="NOV"),'[1]LMP IN PPT'!V26,IF(AND('[1]LMP IN PPT'!$A26='[1]LMP IN MST'!$A24,'[1]LMP IN MST'!$Z24="DST",'[1]LMP IN MST'!$AA24="NORM",OR('[1]LMP IN MST'!$AB24="MAR",'[1]LMP IN MST'!$AB24="")),'[1]LMP IN PPT'!U26,0))))))</f>
        <v>-5.7767400000000002</v>
      </c>
      <c r="S24">
        <f>IF(AND('[1]LMP IN PPT'!$A26='[1]LMP IN MST'!$A24,'[1]LMP IN MST'!$Z24="ST",'[1]LMP IN MST'!$AA24="NORM",OR('[1]LMP IN MST'!$AB24="MAR",'[1]LMP IN MST'!$AB24="")),'[1]LMP IN PPT'!U26,IF(AND('[1]LMP IN PPT'!$A26='[1]LMP IN MST'!$A24,'[1]LMP IN MST'!$Z24="DST",'[1]LMP IN MST'!$AA24="FB",'[1]LMP IN MST'!$AB24="NOV"),'[1]LMP IN PPT'!V26,IF(AND('[1]LMP IN PPT'!$A26='[1]LMP IN MST'!$A24,'[1]LMP IN MST'!$Z24="ST",'[1]LMP IN MST'!$AA24="NORM",'[1]LMP IN MST'!$AB24="NOV"),'[1]LMP IN PPT'!V26,IF(AND('[1]LMP IN PPT'!$A26='[1]LMP IN MST'!$A24,'[1]LMP IN MST'!$Z24="DST",'[1]LMP IN MST'!$AA24="SF",'[1]LMP IN MST'!$AB24="MAR"),'[1]LMP IN PPT'!V26,IF(AND('[1]LMP IN PPT'!$A26='[1]LMP IN MST'!$A24,'[1]LMP IN MST'!$Z24="DST",'[1]LMP IN MST'!$AA24="NORM",'[1]LMP IN MST'!$AB24="NOV"),'[1]LMP IN PPT'!W26,IF(AND('[1]LMP IN PPT'!$A26='[1]LMP IN MST'!$A24,'[1]LMP IN MST'!$Z24="DST",'[1]LMP IN MST'!$AA24="NORM",OR('[1]LMP IN MST'!$AB24="MAR",'[1]LMP IN MST'!$AB24="")),'[1]LMP IN PPT'!V26,0))))))</f>
        <v>9.8921899999999994</v>
      </c>
      <c r="T24">
        <f>IF(AND('[1]LMP IN PPT'!$A26='[1]LMP IN MST'!$A24,'[1]LMP IN MST'!$Z24="ST",'[1]LMP IN MST'!$AA24="NORM",OR('[1]LMP IN MST'!$AB24="MAR",'[1]LMP IN MST'!$AB24="")),'[1]LMP IN PPT'!V26,IF(AND('[1]LMP IN PPT'!$A26='[1]LMP IN MST'!$A24,'[1]LMP IN MST'!$Z24="DST",'[1]LMP IN MST'!$AA24="FB",'[1]LMP IN MST'!$AB24="NOV"),'[1]LMP IN PPT'!W26,IF(AND('[1]LMP IN PPT'!$A26='[1]LMP IN MST'!$A24,'[1]LMP IN MST'!$Z24="ST",'[1]LMP IN MST'!$AA24="NORM",'[1]LMP IN MST'!$AB24="NOV"),'[1]LMP IN PPT'!W26,IF(AND('[1]LMP IN PPT'!$A26='[1]LMP IN MST'!$A24,'[1]LMP IN MST'!$Z24="DST",'[1]LMP IN MST'!$AA24="SF",'[1]LMP IN MST'!$AB24="MAR"),'[1]LMP IN PPT'!W26,IF(AND('[1]LMP IN PPT'!$A26='[1]LMP IN MST'!$A24,'[1]LMP IN MST'!$Z24="DST",'[1]LMP IN MST'!$AA24="NORM",'[1]LMP IN MST'!$AB24="NOV"),'[1]LMP IN PPT'!X26,IF(AND('[1]LMP IN PPT'!$A26='[1]LMP IN MST'!$A24,'[1]LMP IN MST'!$Z24="DST",'[1]LMP IN MST'!$AA24="NORM",OR('[1]LMP IN MST'!$AB24="MAR",'[1]LMP IN MST'!$AB24="")),'[1]LMP IN PPT'!W26,0))))))</f>
        <v>28.407430000000002</v>
      </c>
      <c r="U24">
        <f>IF(AND('[1]LMP IN PPT'!$A26='[1]LMP IN MST'!$A24,'[1]LMP IN MST'!$Z24="ST",'[1]LMP IN MST'!$AA24="NORM",OR('[1]LMP IN MST'!$AB24="MAR",'[1]LMP IN MST'!$AB24="")),'[1]LMP IN PPT'!W26,IF(AND('[1]LMP IN PPT'!$A26='[1]LMP IN MST'!$A24,'[1]LMP IN MST'!$Z24="DST",'[1]LMP IN MST'!$AA24="FB",'[1]LMP IN MST'!$AB24="NOV"),'[1]LMP IN PPT'!X26,IF(AND('[1]LMP IN PPT'!$A26='[1]LMP IN MST'!$A24,'[1]LMP IN MST'!$Z24="ST",'[1]LMP IN MST'!$AA24="NORM",'[1]LMP IN MST'!$AB24="NOV"),'[1]LMP IN PPT'!X26,IF(AND('[1]LMP IN PPT'!$A26='[1]LMP IN MST'!$A24,'[1]LMP IN MST'!$Z24="DST",'[1]LMP IN MST'!$AA24="SF",'[1]LMP IN MST'!$AB24="MAR"),'[1]LMP IN PPT'!X26,IF(AND('[1]LMP IN PPT'!$A26='[1]LMP IN MST'!$A24,'[1]LMP IN MST'!$Z24="DST",'[1]LMP IN MST'!$AA24="NORM",'[1]LMP IN MST'!$AB24="NOV"),'[1]LMP IN PPT'!Y26,IF(AND('[1]LMP IN PPT'!$A26='[1]LMP IN MST'!$A24,'[1]LMP IN MST'!$Z24="DST",'[1]LMP IN MST'!$AA24="NORM",OR('[1]LMP IN MST'!$AB24="MAR",'[1]LMP IN MST'!$AB24="")),'[1]LMP IN PPT'!X26,0))))))</f>
        <v>29.001439999999999</v>
      </c>
      <c r="V24">
        <f>IF(AND('[1]LMP IN PPT'!$A26='[1]LMP IN MST'!$A24,'[1]LMP IN MST'!$Z24="ST",'[1]LMP IN MST'!$AA24="NORM",OR('[1]LMP IN MST'!$AB24="MAR",'[1]LMP IN MST'!$AB24="")),'[1]LMP IN PPT'!X26,IF(AND('[1]LMP IN PPT'!$A26='[1]LMP IN MST'!$A24,'[1]LMP IN MST'!$Z24="DST",'[1]LMP IN MST'!$AA24="FB",'[1]LMP IN MST'!$AB24="NOV"),'[1]LMP IN PPT'!Y26,IF(AND('[1]LMP IN PPT'!$A26='[1]LMP IN MST'!$A24,'[1]LMP IN MST'!$Z24="ST",'[1]LMP IN MST'!$AA24="NORM",'[1]LMP IN MST'!$AB24="NOV"),'[1]LMP IN PPT'!Y26,IF(AND('[1]LMP IN PPT'!$A26='[1]LMP IN MST'!$A24,'[1]LMP IN MST'!$Z24="DST",'[1]LMP IN MST'!$AA24="SF",'[1]LMP IN MST'!$AB24="MAR"),'[1]LMP IN PPT'!Y26,IF(AND('[1]LMP IN PPT'!$A26='[1]LMP IN MST'!$A24,'[1]LMP IN MST'!$Z24="DST",'[1]LMP IN MST'!$AA24="NORM",'[1]LMP IN MST'!$AB24="NOV"),'[1]LMP IN PPT'!Z26,IF(AND('[1]LMP IN PPT'!$A26='[1]LMP IN MST'!$A24,'[1]LMP IN MST'!$Z24="DST",'[1]LMP IN MST'!$AA24="NORM",OR('[1]LMP IN MST'!$AB24="MAR",'[1]LMP IN MST'!$AB24="")),'[1]LMP IN PPT'!Y26,0))))))</f>
        <v>28.608789999999999</v>
      </c>
      <c r="W24">
        <f>IF(AND('[1]LMP IN PPT'!$A26='[1]LMP IN MST'!$A24,'[1]LMP IN MST'!$Z24="ST",'[1]LMP IN MST'!$AA24="NORM",OR('[1]LMP IN MST'!$AB24="MAR",'[1]LMP IN MST'!$AB24="")),'[1]LMP IN PPT'!Y26,IF(AND('[1]LMP IN PPT'!$A26='[1]LMP IN MST'!$A24,'[1]LMP IN MST'!$Z24="DST",'[1]LMP IN MST'!$AA24="FB",'[1]LMP IN MST'!$AB24="NOV"),'[1]LMP IN PPT'!Z26,IF(AND('[1]LMP IN PPT'!$A26='[1]LMP IN MST'!$A24,'[1]LMP IN MST'!$Z24="ST",'[1]LMP IN MST'!$AA24="NORM",'[1]LMP IN MST'!$AB24="NOV"),'[1]LMP IN PPT'!Z26,IF(AND('[1]LMP IN PPT'!$A26='[1]LMP IN MST'!$A24,'[1]LMP IN MST'!$Z24="DST",'[1]LMP IN MST'!$AA24="SF",'[1]LMP IN MST'!$AB24="MAR"),'[1]LMP IN PPT'!Z26,IF(AND('[1]LMP IN PPT'!$A26='[1]LMP IN MST'!$A24,'[1]LMP IN MST'!$Z24="DST",'[1]LMP IN MST'!$AA24="NORM",'[1]LMP IN MST'!$AB24="NOV"),'[1]LMP IN PPT'!AA26,IF(AND('[1]LMP IN PPT'!$A26='[1]LMP IN MST'!$A24,'[1]LMP IN MST'!$Z24="DST",'[1]LMP IN MST'!$AA24="NORM",OR('[1]LMP IN MST'!$AB24="MAR",'[1]LMP IN MST'!$AB24="")),'[1]LMP IN PPT'!Z26,0))))))</f>
        <v>28.52139</v>
      </c>
      <c r="X24">
        <f>IF(AND('[1]LMP IN PPT'!$A26='[1]LMP IN MST'!$A24,'[1]LMP IN MST'!$Z24="ST",'[1]LMP IN MST'!$AA24="NORM",OR('[1]LMP IN MST'!$AB24="MAR",'[1]LMP IN MST'!$AB24="")),'[1]LMP IN PPT'!Z26,IF(AND('[1]LMP IN PPT'!$A26='[1]LMP IN MST'!$A24,'[1]LMP IN MST'!$Z24="DST",'[1]LMP IN MST'!$AA24="FB",'[1]LMP IN MST'!$AB24="NOV"),'[1]LMP IN PPT'!AA26,IF(AND('[1]LMP IN PPT'!$A26='[1]LMP IN MST'!$A24,'[1]LMP IN MST'!$Z24="ST",'[1]LMP IN MST'!$AA24="NORM",'[1]LMP IN MST'!$AB24="NOV"),'[1]LMP IN PPT'!AA26,IF(AND('[1]LMP IN PPT'!$A26='[1]LMP IN MST'!$A24,'[1]LMP IN MST'!$Z24="DST",'[1]LMP IN MST'!$AA24="SF",'[1]LMP IN MST'!$AB24="MAR"),'[1]LMP IN PPT'!AA26,IF(AND('[1]LMP IN PPT'!$A26='[1]LMP IN MST'!$A24,'[1]LMP IN MST'!$Z24="DST",'[1]LMP IN MST'!$AA24="NORM",'[1]LMP IN MST'!$AB24="NOV"),'[1]LMP IN PPT'!AB26,IF(AND('[1]LMP IN PPT'!$A26='[1]LMP IN MST'!$A24,'[1]LMP IN MST'!$Z24="DST",'[1]LMP IN MST'!$AA24="NORM",OR('[1]LMP IN MST'!$AB24="MAR",'[1]LMP IN MST'!$AB24="")),'[1]LMP IN PPT'!AA26,0))))))</f>
        <v>28.029399999999999</v>
      </c>
      <c r="Y24">
        <f>IF(AND('[1]LMP IN PPT'!$A26='[1]LMP IN MST'!$A24,'[1]LMP IN MST'!$Z24="ST",'[1]LMP IN MST'!$AA24="NORM",OR('[1]LMP IN MST'!$AB24="MAR",'[1]LMP IN MST'!$AB24="")),'[1]LMP IN PPT'!AA26,IF(AND('[1]LMP IN PPT'!$A26='[1]LMP IN MST'!$A24,'[1]LMP IN MST'!$Z24="DST",'[1]LMP IN MST'!$AA24="FB",'[1]LMP IN MST'!$AB24="NOV"),'[1]LMP IN PPT'!AB26,IF(AND('[1]LMP IN PPT'!$A26='[1]LMP IN MST'!$A24,'[1]LMP IN MST'!$Z24="ST",'[1]LMP IN MST'!$AA24="NORM",'[1]LMP IN MST'!$AB24="NOV"),'[1]LMP IN PPT'!AB26,IF(AND('[1]LMP IN PPT'!$A26='[1]LMP IN MST'!$A24,'[1]LMP IN MST'!$Z24="DST",'[1]LMP IN MST'!$AA24="SF",'[1]LMP IN MST'!$AB24="MAR"),'[1]LMP IN PPT'!AB26,IF(AND('[1]LMP IN PPT'!$A26='[1]LMP IN MST'!$A24,'[1]LMP IN MST'!$Z24="DST",'[1]LMP IN MST'!$AA24="NORM",'[1]LMP IN MST'!$AB24="NOV"),'[1]LMP IN PPT'!AC26,IF(AND('[1]LMP IN PPT'!$A26='[1]LMP IN MST'!$A24,'[1]LMP IN MST'!$Z24="DST",'[1]LMP IN MST'!$AA24="NORM",OR('[1]LMP IN MST'!$AB24="MAR",'[1]LMP IN MST'!$AB24="")),'[1]LMP IN PPT'!AB26,0))))))</f>
        <v>25.892769999999999</v>
      </c>
    </row>
    <row r="25" spans="1:25" x14ac:dyDescent="0.3">
      <c r="A25" s="1">
        <f t="shared" si="0"/>
        <v>45375</v>
      </c>
      <c r="B25">
        <f>IF(AND('[1]LMP IN PPT'!$A27='[1]LMP IN MST'!$A25,'[1]LMP IN MST'!$Z25="ST",'[1]LMP IN MST'!$AA25="NORM",'[1]LMP IN MST'!$AB25="NOV"),'[1]LMP IN PPT'!AC26,IF(AND('[1]LMP IN PPT'!$A27='[1]LMP IN MST'!$A25,'[1]LMP IN MST'!$Z25="ST",'[1]LMP IN MST'!$AA25="NORM",'[1]LMP IN MST'!$AB25="MAR"),'[1]LMP IN PPT'!AB26,IF(AND('[1]LMP IN PPT'!$A27='[1]LMP IN MST'!$A25,'[1]LMP IN MST'!$Z25="ST",'[1]LMP IN MST'!$AA25="NORM",'[1]LMP IN MST'!$AB25=""),'[1]LMP IN PPT'!AB26,IF(AND('[1]LMP IN PPT'!$A27='[1]LMP IN MST'!$A25,'[1]LMP IN MST'!$Z25="DST",'[1]LMP IN MST'!$AA25="FB",'[1]LMP IN MST'!$AB25="NOV"),'[1]LMP IN PPT'!E27,IF(AND('[1]LMP IN PPT'!$A27='[1]LMP IN MST'!$A25,'[1]LMP IN MST'!$Z25="DST",'[1]LMP IN MST'!$AA25="SF",'[1]LMP IN MST'!$AB25="MAR"),'[1]LMP IN PPT'!AB26,IF(AND('[1]LMP IN PPT'!$A27='[1]LMP IN MST'!$A25,'[1]LMP IN MST'!$Z25="DST",'[1]LMP IN MST'!$AA25="NORM",OR('[1]LMP IN MST'!$AB25="MAR",'[1]LMP IN MST'!$AB25="",'[1]LMP IN MST'!$AB25="NOV")),'[1]LMP IN PPT'!E27,0))))))</f>
        <v>25.46651</v>
      </c>
      <c r="C25">
        <f>IF(AND('[1]LMP IN PPT'!$A27='[1]LMP IN MST'!$A25,'[1]LMP IN MST'!$Z25="ST",'[1]LMP IN MST'!$AA25="NORM",OR('[1]LMP IN MST'!$AB25="NOV",'[1]LMP IN MST'!$AB25="MAR",'[1]LMP IN MST'!$AB25="")),'[1]LMP IN PPT'!E27,IF(AND('[1]LMP IN PPT'!$A27='[1]LMP IN MST'!$A25,'[1]LMP IN MST'!$Z25="DST",'[1]LMP IN MST'!$AA25="FB",'[1]LMP IN MST'!$AB25="NOV"),'[1]LMP IN PPT'!F27,IF(AND('[1]LMP IN PPT'!$A27='[1]LMP IN MST'!$A25,'[1]LMP IN MST'!$Z25="DST",'[1]LMP IN MST'!$AA25="SF",'[1]LMP IN MST'!$AB25="MAR"),'[1]LMP IN PPT'!E27,IF(AND('[1]LMP IN PPT'!$A27='[1]LMP IN MST'!$A25,'[1]LMP IN MST'!$Z25="DST",'[1]LMP IN MST'!$AA25="NORM",OR('[1]LMP IN MST'!$AB25="MAR",'[1]LMP IN MST'!$AB25="",'[1]LMP IN MST'!$AB25="NOV")),'[1]LMP IN PPT'!F27,0))))</f>
        <v>24.950579999999999</v>
      </c>
      <c r="D25">
        <f>IF(AND('[1]LMP IN PPT'!$A27='[1]LMP IN MST'!$A25,'[1]LMP IN MST'!$Z25="ST",'[1]LMP IN MST'!$AA25="NORM",OR('[1]LMP IN MST'!$AB25="NOV",'[1]LMP IN MST'!$AB25="MAR",'[1]LMP IN MST'!$AB25="")),'[1]LMP IN PPT'!F27,IF(AND('[1]LMP IN PPT'!$A27='[1]LMP IN MST'!$A25,'[1]LMP IN MST'!$Z25="DST",'[1]LMP IN MST'!$AA25="FB",'[1]LMP IN MST'!$AB25="NOV"),'[1]LMP IN PPT'!G27,IF(AND('[1]LMP IN PPT'!$A27='[1]LMP IN MST'!$A25,'[1]LMP IN MST'!$Z25="DST",'[1]LMP IN MST'!$AA25="SF",'[1]LMP IN MST'!$AB25="MAR"),'[1]LMP IN PPT'!F27,IF(AND('[1]LMP IN PPT'!$A27='[1]LMP IN MST'!$A25,'[1]LMP IN MST'!$Z25="DST",'[1]LMP IN MST'!$AA25="NORM",'[1]LMP IN MST'!$AB25="NOV"),'[1]LMP IN PPT'!H27,IF(AND('[1]LMP IN PPT'!$A27='[1]LMP IN MST'!$A25,'[1]LMP IN MST'!$Z25="DST",'[1]LMP IN MST'!$AA25="NORM",OR('[1]LMP IN MST'!$AB25="MAR",'[1]LMP IN MST'!$AB25="")),'[1]LMP IN PPT'!G27,0)))))</f>
        <v>23.352170000000001</v>
      </c>
      <c r="E25">
        <f>IF(AND('[1]LMP IN PPT'!$A27='[1]LMP IN MST'!$A25,'[1]LMP IN MST'!$Z25="ST",'[1]LMP IN MST'!$AA25="NORM",OR('[1]LMP IN MST'!$AB25="MAR",'[1]LMP IN MST'!$AB25="")),'[1]LMP IN PPT'!G27,IF(AND('[1]LMP IN PPT'!$A27='[1]LMP IN MST'!$A25,'[1]LMP IN MST'!$Z25="DST",'[1]LMP IN MST'!$AA25="FB",'[1]LMP IN MST'!$AB25="NOV"),'[1]LMP IN PPT'!H27,IF(AND('[1]LMP IN PPT'!$A27='[1]LMP IN MST'!$A25,'[1]LMP IN MST'!$Z25="ST",'[1]LMP IN MST'!$AA25="NORM",'[1]LMP IN MST'!$AB25="NOV"),'[1]LMP IN PPT'!H27,IF(AND('[1]LMP IN PPT'!$A27='[1]LMP IN MST'!$A25,'[1]LMP IN MST'!$Z25="DST",'[1]LMP IN MST'!$AA25="SF",'[1]LMP IN MST'!$AB25="MAR"),'[1]LMP IN PPT'!H27,IF(AND('[1]LMP IN PPT'!$A27='[1]LMP IN MST'!$A25,'[1]LMP IN MST'!$Z25="DST",'[1]LMP IN MST'!$AA25="NORM",'[1]LMP IN MST'!$AB25="NOV"),'[1]LMP IN PPT'!I27,IF(AND('[1]LMP IN PPT'!$A27='[1]LMP IN MST'!$A25,'[1]LMP IN MST'!$Z25="DST",'[1]LMP IN MST'!$AA25="NORM",OR('[1]LMP IN MST'!$AB25="MAR",'[1]LMP IN MST'!$AB25="")),'[1]LMP IN PPT'!H27,0))))))</f>
        <v>20.91395</v>
      </c>
      <c r="F25">
        <f>IF(AND('[1]LMP IN PPT'!$A27='[1]LMP IN MST'!$A25,'[1]LMP IN MST'!$Z25="ST",'[1]LMP IN MST'!$AA25="NORM",OR('[1]LMP IN MST'!$AB25="MAR",'[1]LMP IN MST'!$AB25="")),'[1]LMP IN PPT'!H27,IF(AND('[1]LMP IN PPT'!$A27='[1]LMP IN MST'!$A25,'[1]LMP IN MST'!$Z25="DST",'[1]LMP IN MST'!$AA25="FB",'[1]LMP IN MST'!$AB25="NOV"),'[1]LMP IN PPT'!I27,IF(AND('[1]LMP IN PPT'!$A27='[1]LMP IN MST'!$A25,'[1]LMP IN MST'!$Z25="ST",'[1]LMP IN MST'!$AA25="NORM",'[1]LMP IN MST'!$AB25="NOV"),'[1]LMP IN PPT'!I27,IF(AND('[1]LMP IN PPT'!$A27='[1]LMP IN MST'!$A25,'[1]LMP IN MST'!$Z25="DST",'[1]LMP IN MST'!$AA25="SF",'[1]LMP IN MST'!$AB25="MAR"),'[1]LMP IN PPT'!I27,IF(AND('[1]LMP IN PPT'!$A27='[1]LMP IN MST'!$A25,'[1]LMP IN MST'!$Z25="DST",'[1]LMP IN MST'!$AA25="NORM",'[1]LMP IN MST'!$AB25="NOV"),'[1]LMP IN PPT'!J27,IF(AND('[1]LMP IN PPT'!$A27='[1]LMP IN MST'!$A25,'[1]LMP IN MST'!$Z25="DST",'[1]LMP IN MST'!$AA25="NORM",OR('[1]LMP IN MST'!$AB25="MAR",'[1]LMP IN MST'!$AB25="")),'[1]LMP IN PPT'!I27,0))))))</f>
        <v>22.617000000000001</v>
      </c>
      <c r="G25">
        <f>IF(AND('[1]LMP IN PPT'!$A27='[1]LMP IN MST'!$A25,'[1]LMP IN MST'!$Z25="ST",'[1]LMP IN MST'!$AA25="NORM",OR('[1]LMP IN MST'!$AB25="MAR",'[1]LMP IN MST'!$AB25="")),'[1]LMP IN PPT'!I27,IF(AND('[1]LMP IN PPT'!$A27='[1]LMP IN MST'!$A25,'[1]LMP IN MST'!$Z25="DST",'[1]LMP IN MST'!$AA25="FB",'[1]LMP IN MST'!$AB25="NOV"),'[1]LMP IN PPT'!J27,IF(AND('[1]LMP IN PPT'!$A27='[1]LMP IN MST'!$A25,'[1]LMP IN MST'!$Z25="ST",'[1]LMP IN MST'!$AA25="NORM",'[1]LMP IN MST'!$AB25="NOV"),'[1]LMP IN PPT'!J27,IF(AND('[1]LMP IN PPT'!$A27='[1]LMP IN MST'!$A25,'[1]LMP IN MST'!$Z25="DST",'[1]LMP IN MST'!$AA25="SF",'[1]LMP IN MST'!$AB25="MAR"),'[1]LMP IN PPT'!J27,IF(AND('[1]LMP IN PPT'!$A27='[1]LMP IN MST'!$A25,'[1]LMP IN MST'!$Z25="DST",'[1]LMP IN MST'!$AA25="NORM",'[1]LMP IN MST'!$AB25="NOV"),'[1]LMP IN PPT'!K27,IF(AND('[1]LMP IN PPT'!$A27='[1]LMP IN MST'!$A25,'[1]LMP IN MST'!$Z25="DST",'[1]LMP IN MST'!$AA25="NORM",OR('[1]LMP IN MST'!$AB25="MAR",'[1]LMP IN MST'!$AB25="")),'[1]LMP IN PPT'!J27,0))))))</f>
        <v>23.633780000000002</v>
      </c>
      <c r="H25">
        <f>IF(AND('[1]LMP IN PPT'!$A27='[1]LMP IN MST'!$A25,'[1]LMP IN MST'!$Z25="ST",'[1]LMP IN MST'!$AA25="NORM",OR('[1]LMP IN MST'!$AB25="MAR",'[1]LMP IN MST'!$AB25="")),'[1]LMP IN PPT'!J27,IF(AND('[1]LMP IN PPT'!$A27='[1]LMP IN MST'!$A25,'[1]LMP IN MST'!$Z25="DST",'[1]LMP IN MST'!$AA25="FB",'[1]LMP IN MST'!$AB25="NOV"),'[1]LMP IN PPT'!K27,IF(AND('[1]LMP IN PPT'!$A27='[1]LMP IN MST'!$A25,'[1]LMP IN MST'!$Z25="ST",'[1]LMP IN MST'!$AA25="NORM",'[1]LMP IN MST'!$AB25="NOV"),'[1]LMP IN PPT'!K27,IF(AND('[1]LMP IN PPT'!$A27='[1]LMP IN MST'!$A25,'[1]LMP IN MST'!$Z25="DST",'[1]LMP IN MST'!$AA25="SF",'[1]LMP IN MST'!$AB25="MAR"),'[1]LMP IN PPT'!K27,IF(AND('[1]LMP IN PPT'!$A27='[1]LMP IN MST'!$A25,'[1]LMP IN MST'!$Z25="DST",'[1]LMP IN MST'!$AA25="NORM",'[1]LMP IN MST'!$AB25="NOV"),'[1]LMP IN PPT'!L27,IF(AND('[1]LMP IN PPT'!$A27='[1]LMP IN MST'!$A25,'[1]LMP IN MST'!$Z25="DST",'[1]LMP IN MST'!$AA25="NORM",OR('[1]LMP IN MST'!$AB25="MAR",'[1]LMP IN MST'!$AB25="")),'[1]LMP IN PPT'!K27,0))))))</f>
        <v>27.649550000000001</v>
      </c>
      <c r="I25">
        <f>IF(AND('[1]LMP IN PPT'!$A27='[1]LMP IN MST'!$A25,'[1]LMP IN MST'!$Z25="ST",'[1]LMP IN MST'!$AA25="NORM",OR('[1]LMP IN MST'!$AB25="MAR",'[1]LMP IN MST'!$AB25="")),'[1]LMP IN PPT'!K27,IF(AND('[1]LMP IN PPT'!$A27='[1]LMP IN MST'!$A25,'[1]LMP IN MST'!$Z25="DST",'[1]LMP IN MST'!$AA25="FB",'[1]LMP IN MST'!$AB25="NOV"),'[1]LMP IN PPT'!L27,IF(AND('[1]LMP IN PPT'!$A27='[1]LMP IN MST'!$A25,'[1]LMP IN MST'!$Z25="ST",'[1]LMP IN MST'!$AA25="NORM",'[1]LMP IN MST'!$AB25="NOV"),'[1]LMP IN PPT'!L27,IF(AND('[1]LMP IN PPT'!$A27='[1]LMP IN MST'!$A25,'[1]LMP IN MST'!$Z25="DST",'[1]LMP IN MST'!$AA25="SF",'[1]LMP IN MST'!$AB25="MAR"),'[1]LMP IN PPT'!L27,IF(AND('[1]LMP IN PPT'!$A27='[1]LMP IN MST'!$A25,'[1]LMP IN MST'!$Z25="DST",'[1]LMP IN MST'!$AA25="NORM",'[1]LMP IN MST'!$AB25="NOV"),'[1]LMP IN PPT'!M27,IF(AND('[1]LMP IN PPT'!$A27='[1]LMP IN MST'!$A25,'[1]LMP IN MST'!$Z25="DST",'[1]LMP IN MST'!$AA25="NORM",OR('[1]LMP IN MST'!$AB25="MAR",'[1]LMP IN MST'!$AB25="")),'[1]LMP IN PPT'!L27,0))))))</f>
        <v>20.895029999999998</v>
      </c>
      <c r="J25">
        <f>IF(AND('[1]LMP IN PPT'!$A27='[1]LMP IN MST'!$A25,'[1]LMP IN MST'!$Z25="ST",'[1]LMP IN MST'!$AA25="NORM",OR('[1]LMP IN MST'!$AB25="MAR",'[1]LMP IN MST'!$AB25="")),'[1]LMP IN PPT'!L27,IF(AND('[1]LMP IN PPT'!$A27='[1]LMP IN MST'!$A25,'[1]LMP IN MST'!$Z25="DST",'[1]LMP IN MST'!$AA25="FB",'[1]LMP IN MST'!$AB25="NOV"),'[1]LMP IN PPT'!M27,IF(AND('[1]LMP IN PPT'!$A27='[1]LMP IN MST'!$A25,'[1]LMP IN MST'!$Z25="ST",'[1]LMP IN MST'!$AA25="NORM",'[1]LMP IN MST'!$AB25="NOV"),'[1]LMP IN PPT'!M27,IF(AND('[1]LMP IN PPT'!$A27='[1]LMP IN MST'!$A25,'[1]LMP IN MST'!$Z25="DST",'[1]LMP IN MST'!$AA25="SF",'[1]LMP IN MST'!$AB25="MAR"),'[1]LMP IN PPT'!M27,IF(AND('[1]LMP IN PPT'!$A27='[1]LMP IN MST'!$A25,'[1]LMP IN MST'!$Z25="DST",'[1]LMP IN MST'!$AA25="NORM",'[1]LMP IN MST'!$AB25="NOV"),'[1]LMP IN PPT'!N27,IF(AND('[1]LMP IN PPT'!$A27='[1]LMP IN MST'!$A25,'[1]LMP IN MST'!$Z25="DST",'[1]LMP IN MST'!$AA25="NORM",OR('[1]LMP IN MST'!$AB25="MAR",'[1]LMP IN MST'!$AB25="")),'[1]LMP IN PPT'!M27,0))))))</f>
        <v>0.51509000000000005</v>
      </c>
      <c r="K25">
        <f>IF(AND('[1]LMP IN PPT'!$A27='[1]LMP IN MST'!$A25,'[1]LMP IN MST'!$Z25="ST",'[1]LMP IN MST'!$AA25="NORM",OR('[1]LMP IN MST'!$AB25="MAR",'[1]LMP IN MST'!$AB25="")),'[1]LMP IN PPT'!M27,IF(AND('[1]LMP IN PPT'!$A27='[1]LMP IN MST'!$A25,'[1]LMP IN MST'!$Z25="DST",'[1]LMP IN MST'!$AA25="FB",'[1]LMP IN MST'!$AB25="NOV"),'[1]LMP IN PPT'!N27,IF(AND('[1]LMP IN PPT'!$A27='[1]LMP IN MST'!$A25,'[1]LMP IN MST'!$Z25="ST",'[1]LMP IN MST'!$AA25="NORM",'[1]LMP IN MST'!$AB25="NOV"),'[1]LMP IN PPT'!N27,IF(AND('[1]LMP IN PPT'!$A27='[1]LMP IN MST'!$A25,'[1]LMP IN MST'!$Z25="DST",'[1]LMP IN MST'!$AA25="SF",'[1]LMP IN MST'!$AB25="MAR"),'[1]LMP IN PPT'!N27,IF(AND('[1]LMP IN PPT'!$A27='[1]LMP IN MST'!$A25,'[1]LMP IN MST'!$Z25="DST",'[1]LMP IN MST'!$AA25="NORM",'[1]LMP IN MST'!$AB25="NOV"),'[1]LMP IN PPT'!O27,IF(AND('[1]LMP IN PPT'!$A27='[1]LMP IN MST'!$A25,'[1]LMP IN MST'!$Z25="DST",'[1]LMP IN MST'!$AA25="NORM",OR('[1]LMP IN MST'!$AB25="MAR",'[1]LMP IN MST'!$AB25="")),'[1]LMP IN PPT'!N27,0))))))</f>
        <v>-11.22143</v>
      </c>
      <c r="L25">
        <f>IF(AND('[1]LMP IN PPT'!$A27='[1]LMP IN MST'!$A25,'[1]LMP IN MST'!$Z25="ST",'[1]LMP IN MST'!$AA25="NORM",OR('[1]LMP IN MST'!$AB25="MAR",'[1]LMP IN MST'!$AB25="")),'[1]LMP IN PPT'!N27,IF(AND('[1]LMP IN PPT'!$A27='[1]LMP IN MST'!$A25,'[1]LMP IN MST'!$Z25="DST",'[1]LMP IN MST'!$AA25="FB",'[1]LMP IN MST'!$AB25="NOV"),'[1]LMP IN PPT'!O27,IF(AND('[1]LMP IN PPT'!$A27='[1]LMP IN MST'!$A25,'[1]LMP IN MST'!$Z25="ST",'[1]LMP IN MST'!$AA25="NORM",'[1]LMP IN MST'!$AB25="NOV"),'[1]LMP IN PPT'!O27,IF(AND('[1]LMP IN PPT'!$A27='[1]LMP IN MST'!$A25,'[1]LMP IN MST'!$Z25="DST",'[1]LMP IN MST'!$AA25="SF",'[1]LMP IN MST'!$AB25="MAR"),'[1]LMP IN PPT'!O27,IF(AND('[1]LMP IN PPT'!$A27='[1]LMP IN MST'!$A25,'[1]LMP IN MST'!$Z25="DST",'[1]LMP IN MST'!$AA25="NORM",'[1]LMP IN MST'!$AB25="NOV"),'[1]LMP IN PPT'!P27,IF(AND('[1]LMP IN PPT'!$A27='[1]LMP IN MST'!$A25,'[1]LMP IN MST'!$Z25="DST",'[1]LMP IN MST'!$AA25="NORM",OR('[1]LMP IN MST'!$AB25="MAR",'[1]LMP IN MST'!$AB25="")),'[1]LMP IN PPT'!O27,0))))))</f>
        <v>-18.88598</v>
      </c>
      <c r="M25">
        <f>IF(AND('[1]LMP IN PPT'!$A27='[1]LMP IN MST'!$A25,'[1]LMP IN MST'!$Z25="ST",'[1]LMP IN MST'!$AA25="NORM",OR('[1]LMP IN MST'!$AB25="MAR",'[1]LMP IN MST'!$AB25="")),'[1]LMP IN PPT'!O27,IF(AND('[1]LMP IN PPT'!$A27='[1]LMP IN MST'!$A25,'[1]LMP IN MST'!$Z25="DST",'[1]LMP IN MST'!$AA25="FB",'[1]LMP IN MST'!$AB25="NOV"),'[1]LMP IN PPT'!P27,IF(AND('[1]LMP IN PPT'!$A27='[1]LMP IN MST'!$A25,'[1]LMP IN MST'!$Z25="ST",'[1]LMP IN MST'!$AA25="NORM",'[1]LMP IN MST'!$AB25="NOV"),'[1]LMP IN PPT'!P27,IF(AND('[1]LMP IN PPT'!$A27='[1]LMP IN MST'!$A25,'[1]LMP IN MST'!$Z25="DST",'[1]LMP IN MST'!$AA25="SF",'[1]LMP IN MST'!$AB25="MAR"),'[1]LMP IN PPT'!P27,IF(AND('[1]LMP IN PPT'!$A27='[1]LMP IN MST'!$A25,'[1]LMP IN MST'!$Z25="DST",'[1]LMP IN MST'!$AA25="NORM",'[1]LMP IN MST'!$AB25="NOV"),'[1]LMP IN PPT'!Q27,IF(AND('[1]LMP IN PPT'!$A27='[1]LMP IN MST'!$A25,'[1]LMP IN MST'!$Z25="DST",'[1]LMP IN MST'!$AA25="NORM",OR('[1]LMP IN MST'!$AB25="MAR",'[1]LMP IN MST'!$AB25="")),'[1]LMP IN PPT'!P27,0))))))</f>
        <v>-22.1828</v>
      </c>
      <c r="N25">
        <f>IF(AND('[1]LMP IN PPT'!$A27='[1]LMP IN MST'!$A25,'[1]LMP IN MST'!$Z25="ST",'[1]LMP IN MST'!$AA25="NORM",OR('[1]LMP IN MST'!$AB25="MAR",'[1]LMP IN MST'!$AB25="")),'[1]LMP IN PPT'!P27,IF(AND('[1]LMP IN PPT'!$A27='[1]LMP IN MST'!$A25,'[1]LMP IN MST'!$Z25="DST",'[1]LMP IN MST'!$AA25="FB",'[1]LMP IN MST'!$AB25="NOV"),'[1]LMP IN PPT'!Q27,IF(AND('[1]LMP IN PPT'!$A27='[1]LMP IN MST'!$A25,'[1]LMP IN MST'!$Z25="ST",'[1]LMP IN MST'!$AA25="NORM",'[1]LMP IN MST'!$AB25="NOV"),'[1]LMP IN PPT'!Q27,IF(AND('[1]LMP IN PPT'!$A27='[1]LMP IN MST'!$A25,'[1]LMP IN MST'!$Z25="DST",'[1]LMP IN MST'!$AA25="SF",'[1]LMP IN MST'!$AB25="MAR"),'[1]LMP IN PPT'!Q27,IF(AND('[1]LMP IN PPT'!$A27='[1]LMP IN MST'!$A25,'[1]LMP IN MST'!$Z25="DST",'[1]LMP IN MST'!$AA25="NORM",'[1]LMP IN MST'!$AB25="NOV"),'[1]LMP IN PPT'!R27,IF(AND('[1]LMP IN PPT'!$A27='[1]LMP IN MST'!$A25,'[1]LMP IN MST'!$Z25="DST",'[1]LMP IN MST'!$AA25="NORM",OR('[1]LMP IN MST'!$AB25="MAR",'[1]LMP IN MST'!$AB25="")),'[1]LMP IN PPT'!Q27,0))))))</f>
        <v>-22.87781</v>
      </c>
      <c r="O25">
        <f>IF(AND('[1]LMP IN PPT'!$A27='[1]LMP IN MST'!$A25,'[1]LMP IN MST'!$Z25="ST",'[1]LMP IN MST'!$AA25="NORM",OR('[1]LMP IN MST'!$AB25="MAR",'[1]LMP IN MST'!$AB25="")),'[1]LMP IN PPT'!Q27,IF(AND('[1]LMP IN PPT'!$A27='[1]LMP IN MST'!$A25,'[1]LMP IN MST'!$Z25="DST",'[1]LMP IN MST'!$AA25="FB",'[1]LMP IN MST'!$AB25="NOV"),'[1]LMP IN PPT'!R27,IF(AND('[1]LMP IN PPT'!$A27='[1]LMP IN MST'!$A25,'[1]LMP IN MST'!$Z25="ST",'[1]LMP IN MST'!$AA25="NORM",'[1]LMP IN MST'!$AB25="NOV"),'[1]LMP IN PPT'!R27,IF(AND('[1]LMP IN PPT'!$A27='[1]LMP IN MST'!$A25,'[1]LMP IN MST'!$Z25="DST",'[1]LMP IN MST'!$AA25="SF",'[1]LMP IN MST'!$AB25="MAR"),'[1]LMP IN PPT'!R27,IF(AND('[1]LMP IN PPT'!$A27='[1]LMP IN MST'!$A25,'[1]LMP IN MST'!$Z25="DST",'[1]LMP IN MST'!$AA25="NORM",'[1]LMP IN MST'!$AB25="NOV"),'[1]LMP IN PPT'!S27,IF(AND('[1]LMP IN PPT'!$A27='[1]LMP IN MST'!$A25,'[1]LMP IN MST'!$Z25="DST",'[1]LMP IN MST'!$AA25="NORM",OR('[1]LMP IN MST'!$AB25="MAR",'[1]LMP IN MST'!$AB25="")),'[1]LMP IN PPT'!R27,0))))))</f>
        <v>-26.475169999999999</v>
      </c>
      <c r="P25">
        <f>IF(AND('[1]LMP IN PPT'!$A27='[1]LMP IN MST'!$A25,'[1]LMP IN MST'!$Z25="ST",'[1]LMP IN MST'!$AA25="NORM",OR('[1]LMP IN MST'!$AB25="MAR",'[1]LMP IN MST'!$AB25="")),'[1]LMP IN PPT'!R27,IF(AND('[1]LMP IN PPT'!$A27='[1]LMP IN MST'!$A25,'[1]LMP IN MST'!$Z25="DST",'[1]LMP IN MST'!$AA25="FB",'[1]LMP IN MST'!$AB25="NOV"),'[1]LMP IN PPT'!S27,IF(AND('[1]LMP IN PPT'!$A27='[1]LMP IN MST'!$A25,'[1]LMP IN MST'!$Z25="ST",'[1]LMP IN MST'!$AA25="NORM",'[1]LMP IN MST'!$AB25="NOV"),'[1]LMP IN PPT'!S27,IF(AND('[1]LMP IN PPT'!$A27='[1]LMP IN MST'!$A25,'[1]LMP IN MST'!$Z25="DST",'[1]LMP IN MST'!$AA25="SF",'[1]LMP IN MST'!$AB25="MAR"),'[1]LMP IN PPT'!S27,IF(AND('[1]LMP IN PPT'!$A27='[1]LMP IN MST'!$A25,'[1]LMP IN MST'!$Z25="DST",'[1]LMP IN MST'!$AA25="NORM",'[1]LMP IN MST'!$AB25="NOV"),'[1]LMP IN PPT'!T27,IF(AND('[1]LMP IN PPT'!$A27='[1]LMP IN MST'!$A25,'[1]LMP IN MST'!$Z25="DST",'[1]LMP IN MST'!$AA25="NORM",OR('[1]LMP IN MST'!$AB25="MAR",'[1]LMP IN MST'!$AB25="")),'[1]LMP IN PPT'!S27,0))))))</f>
        <v>-28.528079999999999</v>
      </c>
      <c r="Q25">
        <f>IF(AND('[1]LMP IN PPT'!$A27='[1]LMP IN MST'!$A25,'[1]LMP IN MST'!$Z25="ST",'[1]LMP IN MST'!$AA25="NORM",OR('[1]LMP IN MST'!$AB25="MAR",'[1]LMP IN MST'!$AB25="")),'[1]LMP IN PPT'!S27,IF(AND('[1]LMP IN PPT'!$A27='[1]LMP IN MST'!$A25,'[1]LMP IN MST'!$Z25="DST",'[1]LMP IN MST'!$AA25="FB",'[1]LMP IN MST'!$AB25="NOV"),'[1]LMP IN PPT'!T27,IF(AND('[1]LMP IN PPT'!$A27='[1]LMP IN MST'!$A25,'[1]LMP IN MST'!$Z25="ST",'[1]LMP IN MST'!$AA25="NORM",'[1]LMP IN MST'!$AB25="NOV"),'[1]LMP IN PPT'!T27,IF(AND('[1]LMP IN PPT'!$A27='[1]LMP IN MST'!$A25,'[1]LMP IN MST'!$Z25="DST",'[1]LMP IN MST'!$AA25="SF",'[1]LMP IN MST'!$AB25="MAR"),'[1]LMP IN PPT'!T27,IF(AND('[1]LMP IN PPT'!$A27='[1]LMP IN MST'!$A25,'[1]LMP IN MST'!$Z25="DST",'[1]LMP IN MST'!$AA25="NORM",'[1]LMP IN MST'!$AB25="NOV"),'[1]LMP IN PPT'!U27,IF(AND('[1]LMP IN PPT'!$A27='[1]LMP IN MST'!$A25,'[1]LMP IN MST'!$Z25="DST",'[1]LMP IN MST'!$AA25="NORM",OR('[1]LMP IN MST'!$AB25="MAR",'[1]LMP IN MST'!$AB25="")),'[1]LMP IN PPT'!T27,0))))))</f>
        <v>-23.701889999999999</v>
      </c>
      <c r="R25">
        <f>IF(AND('[1]LMP IN PPT'!$A27='[1]LMP IN MST'!$A25,'[1]LMP IN MST'!$Z25="ST",'[1]LMP IN MST'!$AA25="NORM",OR('[1]LMP IN MST'!$AB25="MAR",'[1]LMP IN MST'!$AB25="")),'[1]LMP IN PPT'!T27,IF(AND('[1]LMP IN PPT'!$A27='[1]LMP IN MST'!$A25,'[1]LMP IN MST'!$Z25="DST",'[1]LMP IN MST'!$AA25="FB",'[1]LMP IN MST'!$AB25="NOV"),'[1]LMP IN PPT'!U27,IF(AND('[1]LMP IN PPT'!$A27='[1]LMP IN MST'!$A25,'[1]LMP IN MST'!$Z25="ST",'[1]LMP IN MST'!$AA25="NORM",'[1]LMP IN MST'!$AB25="NOV"),'[1]LMP IN PPT'!U27,IF(AND('[1]LMP IN PPT'!$A27='[1]LMP IN MST'!$A25,'[1]LMP IN MST'!$Z25="DST",'[1]LMP IN MST'!$AA25="SF",'[1]LMP IN MST'!$AB25="MAR"),'[1]LMP IN PPT'!U27,IF(AND('[1]LMP IN PPT'!$A27='[1]LMP IN MST'!$A25,'[1]LMP IN MST'!$Z25="DST",'[1]LMP IN MST'!$AA25="NORM",'[1]LMP IN MST'!$AB25="NOV"),'[1]LMP IN PPT'!V27,IF(AND('[1]LMP IN PPT'!$A27='[1]LMP IN MST'!$A25,'[1]LMP IN MST'!$Z25="DST",'[1]LMP IN MST'!$AA25="NORM",OR('[1]LMP IN MST'!$AB25="MAR",'[1]LMP IN MST'!$AB25="")),'[1]LMP IN PPT'!U27,0))))))</f>
        <v>-12.45595</v>
      </c>
      <c r="S25">
        <f>IF(AND('[1]LMP IN PPT'!$A27='[1]LMP IN MST'!$A25,'[1]LMP IN MST'!$Z25="ST",'[1]LMP IN MST'!$AA25="NORM",OR('[1]LMP IN MST'!$AB25="MAR",'[1]LMP IN MST'!$AB25="")),'[1]LMP IN PPT'!U27,IF(AND('[1]LMP IN PPT'!$A27='[1]LMP IN MST'!$A25,'[1]LMP IN MST'!$Z25="DST",'[1]LMP IN MST'!$AA25="FB",'[1]LMP IN MST'!$AB25="NOV"),'[1]LMP IN PPT'!V27,IF(AND('[1]LMP IN PPT'!$A27='[1]LMP IN MST'!$A25,'[1]LMP IN MST'!$Z25="ST",'[1]LMP IN MST'!$AA25="NORM",'[1]LMP IN MST'!$AB25="NOV"),'[1]LMP IN PPT'!V27,IF(AND('[1]LMP IN PPT'!$A27='[1]LMP IN MST'!$A25,'[1]LMP IN MST'!$Z25="DST",'[1]LMP IN MST'!$AA25="SF",'[1]LMP IN MST'!$AB25="MAR"),'[1]LMP IN PPT'!V27,IF(AND('[1]LMP IN PPT'!$A27='[1]LMP IN MST'!$A25,'[1]LMP IN MST'!$Z25="DST",'[1]LMP IN MST'!$AA25="NORM",'[1]LMP IN MST'!$AB25="NOV"),'[1]LMP IN PPT'!W27,IF(AND('[1]LMP IN PPT'!$A27='[1]LMP IN MST'!$A25,'[1]LMP IN MST'!$Z25="DST",'[1]LMP IN MST'!$AA25="NORM",OR('[1]LMP IN MST'!$AB25="MAR",'[1]LMP IN MST'!$AB25="")),'[1]LMP IN PPT'!V27,0))))))</f>
        <v>5.43269</v>
      </c>
      <c r="T25">
        <f>IF(AND('[1]LMP IN PPT'!$A27='[1]LMP IN MST'!$A25,'[1]LMP IN MST'!$Z25="ST",'[1]LMP IN MST'!$AA25="NORM",OR('[1]LMP IN MST'!$AB25="MAR",'[1]LMP IN MST'!$AB25="")),'[1]LMP IN PPT'!V27,IF(AND('[1]LMP IN PPT'!$A27='[1]LMP IN MST'!$A25,'[1]LMP IN MST'!$Z25="DST",'[1]LMP IN MST'!$AA25="FB",'[1]LMP IN MST'!$AB25="NOV"),'[1]LMP IN PPT'!W27,IF(AND('[1]LMP IN PPT'!$A27='[1]LMP IN MST'!$A25,'[1]LMP IN MST'!$Z25="ST",'[1]LMP IN MST'!$AA25="NORM",'[1]LMP IN MST'!$AB25="NOV"),'[1]LMP IN PPT'!W27,IF(AND('[1]LMP IN PPT'!$A27='[1]LMP IN MST'!$A25,'[1]LMP IN MST'!$Z25="DST",'[1]LMP IN MST'!$AA25="SF",'[1]LMP IN MST'!$AB25="MAR"),'[1]LMP IN PPT'!W27,IF(AND('[1]LMP IN PPT'!$A27='[1]LMP IN MST'!$A25,'[1]LMP IN MST'!$Z25="DST",'[1]LMP IN MST'!$AA25="NORM",'[1]LMP IN MST'!$AB25="NOV"),'[1]LMP IN PPT'!X27,IF(AND('[1]LMP IN PPT'!$A27='[1]LMP IN MST'!$A25,'[1]LMP IN MST'!$Z25="DST",'[1]LMP IN MST'!$AA25="NORM",OR('[1]LMP IN MST'!$AB25="MAR",'[1]LMP IN MST'!$AB25="")),'[1]LMP IN PPT'!W27,0))))))</f>
        <v>28.293030000000002</v>
      </c>
      <c r="U25">
        <f>IF(AND('[1]LMP IN PPT'!$A27='[1]LMP IN MST'!$A25,'[1]LMP IN MST'!$Z25="ST",'[1]LMP IN MST'!$AA25="NORM",OR('[1]LMP IN MST'!$AB25="MAR",'[1]LMP IN MST'!$AB25="")),'[1]LMP IN PPT'!W27,IF(AND('[1]LMP IN PPT'!$A27='[1]LMP IN MST'!$A25,'[1]LMP IN MST'!$Z25="DST",'[1]LMP IN MST'!$AA25="FB",'[1]LMP IN MST'!$AB25="NOV"),'[1]LMP IN PPT'!X27,IF(AND('[1]LMP IN PPT'!$A27='[1]LMP IN MST'!$A25,'[1]LMP IN MST'!$Z25="ST",'[1]LMP IN MST'!$AA25="NORM",'[1]LMP IN MST'!$AB25="NOV"),'[1]LMP IN PPT'!X27,IF(AND('[1]LMP IN PPT'!$A27='[1]LMP IN MST'!$A25,'[1]LMP IN MST'!$Z25="DST",'[1]LMP IN MST'!$AA25="SF",'[1]LMP IN MST'!$AB25="MAR"),'[1]LMP IN PPT'!X27,IF(AND('[1]LMP IN PPT'!$A27='[1]LMP IN MST'!$A25,'[1]LMP IN MST'!$Z25="DST",'[1]LMP IN MST'!$AA25="NORM",'[1]LMP IN MST'!$AB25="NOV"),'[1]LMP IN PPT'!Y27,IF(AND('[1]LMP IN PPT'!$A27='[1]LMP IN MST'!$A25,'[1]LMP IN MST'!$Z25="DST",'[1]LMP IN MST'!$AA25="NORM",OR('[1]LMP IN MST'!$AB25="MAR",'[1]LMP IN MST'!$AB25="")),'[1]LMP IN PPT'!X27,0))))))</f>
        <v>29.62566</v>
      </c>
      <c r="V25">
        <f>IF(AND('[1]LMP IN PPT'!$A27='[1]LMP IN MST'!$A25,'[1]LMP IN MST'!$Z25="ST",'[1]LMP IN MST'!$AA25="NORM",OR('[1]LMP IN MST'!$AB25="MAR",'[1]LMP IN MST'!$AB25="")),'[1]LMP IN PPT'!X27,IF(AND('[1]LMP IN PPT'!$A27='[1]LMP IN MST'!$A25,'[1]LMP IN MST'!$Z25="DST",'[1]LMP IN MST'!$AA25="FB",'[1]LMP IN MST'!$AB25="NOV"),'[1]LMP IN PPT'!Y27,IF(AND('[1]LMP IN PPT'!$A27='[1]LMP IN MST'!$A25,'[1]LMP IN MST'!$Z25="ST",'[1]LMP IN MST'!$AA25="NORM",'[1]LMP IN MST'!$AB25="NOV"),'[1]LMP IN PPT'!Y27,IF(AND('[1]LMP IN PPT'!$A27='[1]LMP IN MST'!$A25,'[1]LMP IN MST'!$Z25="DST",'[1]LMP IN MST'!$AA25="SF",'[1]LMP IN MST'!$AB25="MAR"),'[1]LMP IN PPT'!Y27,IF(AND('[1]LMP IN PPT'!$A27='[1]LMP IN MST'!$A25,'[1]LMP IN MST'!$Z25="DST",'[1]LMP IN MST'!$AA25="NORM",'[1]LMP IN MST'!$AB25="NOV"),'[1]LMP IN PPT'!Z27,IF(AND('[1]LMP IN PPT'!$A27='[1]LMP IN MST'!$A25,'[1]LMP IN MST'!$Z25="DST",'[1]LMP IN MST'!$AA25="NORM",OR('[1]LMP IN MST'!$AB25="MAR",'[1]LMP IN MST'!$AB25="")),'[1]LMP IN PPT'!Y27,0))))))</f>
        <v>29.636189999999999</v>
      </c>
      <c r="W25">
        <f>IF(AND('[1]LMP IN PPT'!$A27='[1]LMP IN MST'!$A25,'[1]LMP IN MST'!$Z25="ST",'[1]LMP IN MST'!$AA25="NORM",OR('[1]LMP IN MST'!$AB25="MAR",'[1]LMP IN MST'!$AB25="")),'[1]LMP IN PPT'!Y27,IF(AND('[1]LMP IN PPT'!$A27='[1]LMP IN MST'!$A25,'[1]LMP IN MST'!$Z25="DST",'[1]LMP IN MST'!$AA25="FB",'[1]LMP IN MST'!$AB25="NOV"),'[1]LMP IN PPT'!Z27,IF(AND('[1]LMP IN PPT'!$A27='[1]LMP IN MST'!$A25,'[1]LMP IN MST'!$Z25="ST",'[1]LMP IN MST'!$AA25="NORM",'[1]LMP IN MST'!$AB25="NOV"),'[1]LMP IN PPT'!Z27,IF(AND('[1]LMP IN PPT'!$A27='[1]LMP IN MST'!$A25,'[1]LMP IN MST'!$Z25="DST",'[1]LMP IN MST'!$AA25="SF",'[1]LMP IN MST'!$AB25="MAR"),'[1]LMP IN PPT'!Z27,IF(AND('[1]LMP IN PPT'!$A27='[1]LMP IN MST'!$A25,'[1]LMP IN MST'!$Z25="DST",'[1]LMP IN MST'!$AA25="NORM",'[1]LMP IN MST'!$AB25="NOV"),'[1]LMP IN PPT'!AA27,IF(AND('[1]LMP IN PPT'!$A27='[1]LMP IN MST'!$A25,'[1]LMP IN MST'!$Z25="DST",'[1]LMP IN MST'!$AA25="NORM",OR('[1]LMP IN MST'!$AB25="MAR",'[1]LMP IN MST'!$AB25="")),'[1]LMP IN PPT'!Z27,0))))))</f>
        <v>28.856929999999998</v>
      </c>
      <c r="X25">
        <f>IF(AND('[1]LMP IN PPT'!$A27='[1]LMP IN MST'!$A25,'[1]LMP IN MST'!$Z25="ST",'[1]LMP IN MST'!$AA25="NORM",OR('[1]LMP IN MST'!$AB25="MAR",'[1]LMP IN MST'!$AB25="")),'[1]LMP IN PPT'!Z27,IF(AND('[1]LMP IN PPT'!$A27='[1]LMP IN MST'!$A25,'[1]LMP IN MST'!$Z25="DST",'[1]LMP IN MST'!$AA25="FB",'[1]LMP IN MST'!$AB25="NOV"),'[1]LMP IN PPT'!AA27,IF(AND('[1]LMP IN PPT'!$A27='[1]LMP IN MST'!$A25,'[1]LMP IN MST'!$Z25="ST",'[1]LMP IN MST'!$AA25="NORM",'[1]LMP IN MST'!$AB25="NOV"),'[1]LMP IN PPT'!AA27,IF(AND('[1]LMP IN PPT'!$A27='[1]LMP IN MST'!$A25,'[1]LMP IN MST'!$Z25="DST",'[1]LMP IN MST'!$AA25="SF",'[1]LMP IN MST'!$AB25="MAR"),'[1]LMP IN PPT'!AA27,IF(AND('[1]LMP IN PPT'!$A27='[1]LMP IN MST'!$A25,'[1]LMP IN MST'!$Z25="DST",'[1]LMP IN MST'!$AA25="NORM",'[1]LMP IN MST'!$AB25="NOV"),'[1]LMP IN PPT'!AB27,IF(AND('[1]LMP IN PPT'!$A27='[1]LMP IN MST'!$A25,'[1]LMP IN MST'!$Z25="DST",'[1]LMP IN MST'!$AA25="NORM",OR('[1]LMP IN MST'!$AB25="MAR",'[1]LMP IN MST'!$AB25="")),'[1]LMP IN PPT'!AA27,0))))))</f>
        <v>28.203569999999999</v>
      </c>
      <c r="Y25">
        <f>IF(AND('[1]LMP IN PPT'!$A27='[1]LMP IN MST'!$A25,'[1]LMP IN MST'!$Z25="ST",'[1]LMP IN MST'!$AA25="NORM",OR('[1]LMP IN MST'!$AB25="MAR",'[1]LMP IN MST'!$AB25="")),'[1]LMP IN PPT'!AA27,IF(AND('[1]LMP IN PPT'!$A27='[1]LMP IN MST'!$A25,'[1]LMP IN MST'!$Z25="DST",'[1]LMP IN MST'!$AA25="FB",'[1]LMP IN MST'!$AB25="NOV"),'[1]LMP IN PPT'!AB27,IF(AND('[1]LMP IN PPT'!$A27='[1]LMP IN MST'!$A25,'[1]LMP IN MST'!$Z25="ST",'[1]LMP IN MST'!$AA25="NORM",'[1]LMP IN MST'!$AB25="NOV"),'[1]LMP IN PPT'!AB27,IF(AND('[1]LMP IN PPT'!$A27='[1]LMP IN MST'!$A25,'[1]LMP IN MST'!$Z25="DST",'[1]LMP IN MST'!$AA25="SF",'[1]LMP IN MST'!$AB25="MAR"),'[1]LMP IN PPT'!AB27,IF(AND('[1]LMP IN PPT'!$A27='[1]LMP IN MST'!$A25,'[1]LMP IN MST'!$Z25="DST",'[1]LMP IN MST'!$AA25="NORM",'[1]LMP IN MST'!$AB25="NOV"),'[1]LMP IN PPT'!AC27,IF(AND('[1]LMP IN PPT'!$A27='[1]LMP IN MST'!$A25,'[1]LMP IN MST'!$Z25="DST",'[1]LMP IN MST'!$AA25="NORM",OR('[1]LMP IN MST'!$AB25="MAR",'[1]LMP IN MST'!$AB25="")),'[1]LMP IN PPT'!AB27,0))))))</f>
        <v>25.12819</v>
      </c>
    </row>
    <row r="26" spans="1:25" x14ac:dyDescent="0.3">
      <c r="A26" s="1">
        <f t="shared" si="0"/>
        <v>45376</v>
      </c>
      <c r="B26">
        <f>IF(AND('[1]LMP IN PPT'!$A28='[1]LMP IN MST'!$A26,'[1]LMP IN MST'!$Z26="ST",'[1]LMP IN MST'!$AA26="NORM",'[1]LMP IN MST'!$AB26="NOV"),'[1]LMP IN PPT'!AC27,IF(AND('[1]LMP IN PPT'!$A28='[1]LMP IN MST'!$A26,'[1]LMP IN MST'!$Z26="ST",'[1]LMP IN MST'!$AA26="NORM",'[1]LMP IN MST'!$AB26="MAR"),'[1]LMP IN PPT'!AB27,IF(AND('[1]LMP IN PPT'!$A28='[1]LMP IN MST'!$A26,'[1]LMP IN MST'!$Z26="ST",'[1]LMP IN MST'!$AA26="NORM",'[1]LMP IN MST'!$AB26=""),'[1]LMP IN PPT'!AB27,IF(AND('[1]LMP IN PPT'!$A28='[1]LMP IN MST'!$A26,'[1]LMP IN MST'!$Z26="DST",'[1]LMP IN MST'!$AA26="FB",'[1]LMP IN MST'!$AB26="NOV"),'[1]LMP IN PPT'!E28,IF(AND('[1]LMP IN PPT'!$A28='[1]LMP IN MST'!$A26,'[1]LMP IN MST'!$Z26="DST",'[1]LMP IN MST'!$AA26="SF",'[1]LMP IN MST'!$AB26="MAR"),'[1]LMP IN PPT'!AB27,IF(AND('[1]LMP IN PPT'!$A28='[1]LMP IN MST'!$A26,'[1]LMP IN MST'!$Z26="DST",'[1]LMP IN MST'!$AA26="NORM",OR('[1]LMP IN MST'!$AB26="MAR",'[1]LMP IN MST'!$AB26="",'[1]LMP IN MST'!$AB26="NOV")),'[1]LMP IN PPT'!E28,0))))))</f>
        <v>26.857800000000001</v>
      </c>
      <c r="C26">
        <f>IF(AND('[1]LMP IN PPT'!$A28='[1]LMP IN MST'!$A26,'[1]LMP IN MST'!$Z26="ST",'[1]LMP IN MST'!$AA26="NORM",OR('[1]LMP IN MST'!$AB26="NOV",'[1]LMP IN MST'!$AB26="MAR",'[1]LMP IN MST'!$AB26="")),'[1]LMP IN PPT'!E28,IF(AND('[1]LMP IN PPT'!$A28='[1]LMP IN MST'!$A26,'[1]LMP IN MST'!$Z26="DST",'[1]LMP IN MST'!$AA26="FB",'[1]LMP IN MST'!$AB26="NOV"),'[1]LMP IN PPT'!F28,IF(AND('[1]LMP IN PPT'!$A28='[1]LMP IN MST'!$A26,'[1]LMP IN MST'!$Z26="DST",'[1]LMP IN MST'!$AA26="SF",'[1]LMP IN MST'!$AB26="MAR"),'[1]LMP IN PPT'!E28,IF(AND('[1]LMP IN PPT'!$A28='[1]LMP IN MST'!$A26,'[1]LMP IN MST'!$Z26="DST",'[1]LMP IN MST'!$AA26="NORM",OR('[1]LMP IN MST'!$AB26="MAR",'[1]LMP IN MST'!$AB26="",'[1]LMP IN MST'!$AB26="NOV")),'[1]LMP IN PPT'!F28,0))))</f>
        <v>24.785219999999999</v>
      </c>
      <c r="D26">
        <f>IF(AND('[1]LMP IN PPT'!$A28='[1]LMP IN MST'!$A26,'[1]LMP IN MST'!$Z26="ST",'[1]LMP IN MST'!$AA26="NORM",OR('[1]LMP IN MST'!$AB26="NOV",'[1]LMP IN MST'!$AB26="MAR",'[1]LMP IN MST'!$AB26="")),'[1]LMP IN PPT'!F28,IF(AND('[1]LMP IN PPT'!$A28='[1]LMP IN MST'!$A26,'[1]LMP IN MST'!$Z26="DST",'[1]LMP IN MST'!$AA26="FB",'[1]LMP IN MST'!$AB26="NOV"),'[1]LMP IN PPT'!G28,IF(AND('[1]LMP IN PPT'!$A28='[1]LMP IN MST'!$A26,'[1]LMP IN MST'!$Z26="DST",'[1]LMP IN MST'!$AA26="SF",'[1]LMP IN MST'!$AB26="MAR"),'[1]LMP IN PPT'!F28,IF(AND('[1]LMP IN PPT'!$A28='[1]LMP IN MST'!$A26,'[1]LMP IN MST'!$Z26="DST",'[1]LMP IN MST'!$AA26="NORM",'[1]LMP IN MST'!$AB26="NOV"),'[1]LMP IN PPT'!H28,IF(AND('[1]LMP IN PPT'!$A28='[1]LMP IN MST'!$A26,'[1]LMP IN MST'!$Z26="DST",'[1]LMP IN MST'!$AA26="NORM",OR('[1]LMP IN MST'!$AB26="MAR",'[1]LMP IN MST'!$AB26="")),'[1]LMP IN PPT'!G28,0)))))</f>
        <v>24.436050000000002</v>
      </c>
      <c r="E26">
        <f>IF(AND('[1]LMP IN PPT'!$A28='[1]LMP IN MST'!$A26,'[1]LMP IN MST'!$Z26="ST",'[1]LMP IN MST'!$AA26="NORM",OR('[1]LMP IN MST'!$AB26="MAR",'[1]LMP IN MST'!$AB26="")),'[1]LMP IN PPT'!G28,IF(AND('[1]LMP IN PPT'!$A28='[1]LMP IN MST'!$A26,'[1]LMP IN MST'!$Z26="DST",'[1]LMP IN MST'!$AA26="FB",'[1]LMP IN MST'!$AB26="NOV"),'[1]LMP IN PPT'!H28,IF(AND('[1]LMP IN PPT'!$A28='[1]LMP IN MST'!$A26,'[1]LMP IN MST'!$Z26="ST",'[1]LMP IN MST'!$AA26="NORM",'[1]LMP IN MST'!$AB26="NOV"),'[1]LMP IN PPT'!H28,IF(AND('[1]LMP IN PPT'!$A28='[1]LMP IN MST'!$A26,'[1]LMP IN MST'!$Z26="DST",'[1]LMP IN MST'!$AA26="SF",'[1]LMP IN MST'!$AB26="MAR"),'[1]LMP IN PPT'!H28,IF(AND('[1]LMP IN PPT'!$A28='[1]LMP IN MST'!$A26,'[1]LMP IN MST'!$Z26="DST",'[1]LMP IN MST'!$AA26="NORM",'[1]LMP IN MST'!$AB26="NOV"),'[1]LMP IN PPT'!I28,IF(AND('[1]LMP IN PPT'!$A28='[1]LMP IN MST'!$A26,'[1]LMP IN MST'!$Z26="DST",'[1]LMP IN MST'!$AA26="NORM",OR('[1]LMP IN MST'!$AB26="MAR",'[1]LMP IN MST'!$AB26="")),'[1]LMP IN PPT'!H28,0))))))</f>
        <v>24.857659999999999</v>
      </c>
      <c r="F26">
        <f>IF(AND('[1]LMP IN PPT'!$A28='[1]LMP IN MST'!$A26,'[1]LMP IN MST'!$Z26="ST",'[1]LMP IN MST'!$AA26="NORM",OR('[1]LMP IN MST'!$AB26="MAR",'[1]LMP IN MST'!$AB26="")),'[1]LMP IN PPT'!H28,IF(AND('[1]LMP IN PPT'!$A28='[1]LMP IN MST'!$A26,'[1]LMP IN MST'!$Z26="DST",'[1]LMP IN MST'!$AA26="FB",'[1]LMP IN MST'!$AB26="NOV"),'[1]LMP IN PPT'!I28,IF(AND('[1]LMP IN PPT'!$A28='[1]LMP IN MST'!$A26,'[1]LMP IN MST'!$Z26="ST",'[1]LMP IN MST'!$AA26="NORM",'[1]LMP IN MST'!$AB26="NOV"),'[1]LMP IN PPT'!I28,IF(AND('[1]LMP IN PPT'!$A28='[1]LMP IN MST'!$A26,'[1]LMP IN MST'!$Z26="DST",'[1]LMP IN MST'!$AA26="SF",'[1]LMP IN MST'!$AB26="MAR"),'[1]LMP IN PPT'!I28,IF(AND('[1]LMP IN PPT'!$A28='[1]LMP IN MST'!$A26,'[1]LMP IN MST'!$Z26="DST",'[1]LMP IN MST'!$AA26="NORM",'[1]LMP IN MST'!$AB26="NOV"),'[1]LMP IN PPT'!J28,IF(AND('[1]LMP IN PPT'!$A28='[1]LMP IN MST'!$A26,'[1]LMP IN MST'!$Z26="DST",'[1]LMP IN MST'!$AA26="NORM",OR('[1]LMP IN MST'!$AB26="MAR",'[1]LMP IN MST'!$AB26="")),'[1]LMP IN PPT'!I28,0))))))</f>
        <v>26.922709999999999</v>
      </c>
      <c r="G26">
        <f>IF(AND('[1]LMP IN PPT'!$A28='[1]LMP IN MST'!$A26,'[1]LMP IN MST'!$Z26="ST",'[1]LMP IN MST'!$AA26="NORM",OR('[1]LMP IN MST'!$AB26="MAR",'[1]LMP IN MST'!$AB26="")),'[1]LMP IN PPT'!I28,IF(AND('[1]LMP IN PPT'!$A28='[1]LMP IN MST'!$A26,'[1]LMP IN MST'!$Z26="DST",'[1]LMP IN MST'!$AA26="FB",'[1]LMP IN MST'!$AB26="NOV"),'[1]LMP IN PPT'!J28,IF(AND('[1]LMP IN PPT'!$A28='[1]LMP IN MST'!$A26,'[1]LMP IN MST'!$Z26="ST",'[1]LMP IN MST'!$AA26="NORM",'[1]LMP IN MST'!$AB26="NOV"),'[1]LMP IN PPT'!J28,IF(AND('[1]LMP IN PPT'!$A28='[1]LMP IN MST'!$A26,'[1]LMP IN MST'!$Z26="DST",'[1]LMP IN MST'!$AA26="SF",'[1]LMP IN MST'!$AB26="MAR"),'[1]LMP IN PPT'!J28,IF(AND('[1]LMP IN PPT'!$A28='[1]LMP IN MST'!$A26,'[1]LMP IN MST'!$Z26="DST",'[1]LMP IN MST'!$AA26="NORM",'[1]LMP IN MST'!$AB26="NOV"),'[1]LMP IN PPT'!K28,IF(AND('[1]LMP IN PPT'!$A28='[1]LMP IN MST'!$A26,'[1]LMP IN MST'!$Z26="DST",'[1]LMP IN MST'!$AA26="NORM",OR('[1]LMP IN MST'!$AB26="MAR",'[1]LMP IN MST'!$AB26="")),'[1]LMP IN PPT'!J28,0))))))</f>
        <v>30.614249999999998</v>
      </c>
      <c r="H26">
        <f>IF(AND('[1]LMP IN PPT'!$A28='[1]LMP IN MST'!$A26,'[1]LMP IN MST'!$Z26="ST",'[1]LMP IN MST'!$AA26="NORM",OR('[1]LMP IN MST'!$AB26="MAR",'[1]LMP IN MST'!$AB26="")),'[1]LMP IN PPT'!J28,IF(AND('[1]LMP IN PPT'!$A28='[1]LMP IN MST'!$A26,'[1]LMP IN MST'!$Z26="DST",'[1]LMP IN MST'!$AA26="FB",'[1]LMP IN MST'!$AB26="NOV"),'[1]LMP IN PPT'!K28,IF(AND('[1]LMP IN PPT'!$A28='[1]LMP IN MST'!$A26,'[1]LMP IN MST'!$Z26="ST",'[1]LMP IN MST'!$AA26="NORM",'[1]LMP IN MST'!$AB26="NOV"),'[1]LMP IN PPT'!K28,IF(AND('[1]LMP IN PPT'!$A28='[1]LMP IN MST'!$A26,'[1]LMP IN MST'!$Z26="DST",'[1]LMP IN MST'!$AA26="SF",'[1]LMP IN MST'!$AB26="MAR"),'[1]LMP IN PPT'!K28,IF(AND('[1]LMP IN PPT'!$A28='[1]LMP IN MST'!$A26,'[1]LMP IN MST'!$Z26="DST",'[1]LMP IN MST'!$AA26="NORM",'[1]LMP IN MST'!$AB26="NOV"),'[1]LMP IN PPT'!L28,IF(AND('[1]LMP IN PPT'!$A28='[1]LMP IN MST'!$A26,'[1]LMP IN MST'!$Z26="DST",'[1]LMP IN MST'!$AA26="NORM",OR('[1]LMP IN MST'!$AB26="MAR",'[1]LMP IN MST'!$AB26="")),'[1]LMP IN PPT'!K28,0))))))</f>
        <v>50.326000000000001</v>
      </c>
      <c r="I26">
        <f>IF(AND('[1]LMP IN PPT'!$A28='[1]LMP IN MST'!$A26,'[1]LMP IN MST'!$Z26="ST",'[1]LMP IN MST'!$AA26="NORM",OR('[1]LMP IN MST'!$AB26="MAR",'[1]LMP IN MST'!$AB26="")),'[1]LMP IN PPT'!K28,IF(AND('[1]LMP IN PPT'!$A28='[1]LMP IN MST'!$A26,'[1]LMP IN MST'!$Z26="DST",'[1]LMP IN MST'!$AA26="FB",'[1]LMP IN MST'!$AB26="NOV"),'[1]LMP IN PPT'!L28,IF(AND('[1]LMP IN PPT'!$A28='[1]LMP IN MST'!$A26,'[1]LMP IN MST'!$Z26="ST",'[1]LMP IN MST'!$AA26="NORM",'[1]LMP IN MST'!$AB26="NOV"),'[1]LMP IN PPT'!L28,IF(AND('[1]LMP IN PPT'!$A28='[1]LMP IN MST'!$A26,'[1]LMP IN MST'!$Z26="DST",'[1]LMP IN MST'!$AA26="SF",'[1]LMP IN MST'!$AB26="MAR"),'[1]LMP IN PPT'!L28,IF(AND('[1]LMP IN PPT'!$A28='[1]LMP IN MST'!$A26,'[1]LMP IN MST'!$Z26="DST",'[1]LMP IN MST'!$AA26="NORM",'[1]LMP IN MST'!$AB26="NOV"),'[1]LMP IN PPT'!M28,IF(AND('[1]LMP IN PPT'!$A28='[1]LMP IN MST'!$A26,'[1]LMP IN MST'!$Z26="DST",'[1]LMP IN MST'!$AA26="NORM",OR('[1]LMP IN MST'!$AB26="MAR",'[1]LMP IN MST'!$AB26="")),'[1]LMP IN PPT'!L28,0))))))</f>
        <v>36.005830000000003</v>
      </c>
      <c r="J26">
        <f>IF(AND('[1]LMP IN PPT'!$A28='[1]LMP IN MST'!$A26,'[1]LMP IN MST'!$Z26="ST",'[1]LMP IN MST'!$AA26="NORM",OR('[1]LMP IN MST'!$AB26="MAR",'[1]LMP IN MST'!$AB26="")),'[1]LMP IN PPT'!L28,IF(AND('[1]LMP IN PPT'!$A28='[1]LMP IN MST'!$A26,'[1]LMP IN MST'!$Z26="DST",'[1]LMP IN MST'!$AA26="FB",'[1]LMP IN MST'!$AB26="NOV"),'[1]LMP IN PPT'!M28,IF(AND('[1]LMP IN PPT'!$A28='[1]LMP IN MST'!$A26,'[1]LMP IN MST'!$Z26="ST",'[1]LMP IN MST'!$AA26="NORM",'[1]LMP IN MST'!$AB26="NOV"),'[1]LMP IN PPT'!M28,IF(AND('[1]LMP IN PPT'!$A28='[1]LMP IN MST'!$A26,'[1]LMP IN MST'!$Z26="DST",'[1]LMP IN MST'!$AA26="SF",'[1]LMP IN MST'!$AB26="MAR"),'[1]LMP IN PPT'!M28,IF(AND('[1]LMP IN PPT'!$A28='[1]LMP IN MST'!$A26,'[1]LMP IN MST'!$Z26="DST",'[1]LMP IN MST'!$AA26="NORM",'[1]LMP IN MST'!$AB26="NOV"),'[1]LMP IN PPT'!N28,IF(AND('[1]LMP IN PPT'!$A28='[1]LMP IN MST'!$A26,'[1]LMP IN MST'!$Z26="DST",'[1]LMP IN MST'!$AA26="NORM",OR('[1]LMP IN MST'!$AB26="MAR",'[1]LMP IN MST'!$AB26="")),'[1]LMP IN PPT'!M28,0))))))</f>
        <v>2.7606099999999998</v>
      </c>
      <c r="K26">
        <f>IF(AND('[1]LMP IN PPT'!$A28='[1]LMP IN MST'!$A26,'[1]LMP IN MST'!$Z26="ST",'[1]LMP IN MST'!$AA26="NORM",OR('[1]LMP IN MST'!$AB26="MAR",'[1]LMP IN MST'!$AB26="")),'[1]LMP IN PPT'!M28,IF(AND('[1]LMP IN PPT'!$A28='[1]LMP IN MST'!$A26,'[1]LMP IN MST'!$Z26="DST",'[1]LMP IN MST'!$AA26="FB",'[1]LMP IN MST'!$AB26="NOV"),'[1]LMP IN PPT'!N28,IF(AND('[1]LMP IN PPT'!$A28='[1]LMP IN MST'!$A26,'[1]LMP IN MST'!$Z26="ST",'[1]LMP IN MST'!$AA26="NORM",'[1]LMP IN MST'!$AB26="NOV"),'[1]LMP IN PPT'!N28,IF(AND('[1]LMP IN PPT'!$A28='[1]LMP IN MST'!$A26,'[1]LMP IN MST'!$Z26="DST",'[1]LMP IN MST'!$AA26="SF",'[1]LMP IN MST'!$AB26="MAR"),'[1]LMP IN PPT'!N28,IF(AND('[1]LMP IN PPT'!$A28='[1]LMP IN MST'!$A26,'[1]LMP IN MST'!$Z26="DST",'[1]LMP IN MST'!$AA26="NORM",'[1]LMP IN MST'!$AB26="NOV"),'[1]LMP IN PPT'!O28,IF(AND('[1]LMP IN PPT'!$A28='[1]LMP IN MST'!$A26,'[1]LMP IN MST'!$Z26="DST",'[1]LMP IN MST'!$AA26="NORM",OR('[1]LMP IN MST'!$AB26="MAR",'[1]LMP IN MST'!$AB26="")),'[1]LMP IN PPT'!N28,0))))))</f>
        <v>-19.676570000000002</v>
      </c>
      <c r="L26">
        <f>IF(AND('[1]LMP IN PPT'!$A28='[1]LMP IN MST'!$A26,'[1]LMP IN MST'!$Z26="ST",'[1]LMP IN MST'!$AA26="NORM",OR('[1]LMP IN MST'!$AB26="MAR",'[1]LMP IN MST'!$AB26="")),'[1]LMP IN PPT'!N28,IF(AND('[1]LMP IN PPT'!$A28='[1]LMP IN MST'!$A26,'[1]LMP IN MST'!$Z26="DST",'[1]LMP IN MST'!$AA26="FB",'[1]LMP IN MST'!$AB26="NOV"),'[1]LMP IN PPT'!O28,IF(AND('[1]LMP IN PPT'!$A28='[1]LMP IN MST'!$A26,'[1]LMP IN MST'!$Z26="ST",'[1]LMP IN MST'!$AA26="NORM",'[1]LMP IN MST'!$AB26="NOV"),'[1]LMP IN PPT'!O28,IF(AND('[1]LMP IN PPT'!$A28='[1]LMP IN MST'!$A26,'[1]LMP IN MST'!$Z26="DST",'[1]LMP IN MST'!$AA26="SF",'[1]LMP IN MST'!$AB26="MAR"),'[1]LMP IN PPT'!O28,IF(AND('[1]LMP IN PPT'!$A28='[1]LMP IN MST'!$A26,'[1]LMP IN MST'!$Z26="DST",'[1]LMP IN MST'!$AA26="NORM",'[1]LMP IN MST'!$AB26="NOV"),'[1]LMP IN PPT'!P28,IF(AND('[1]LMP IN PPT'!$A28='[1]LMP IN MST'!$A26,'[1]LMP IN MST'!$Z26="DST",'[1]LMP IN MST'!$AA26="NORM",OR('[1]LMP IN MST'!$AB26="MAR",'[1]LMP IN MST'!$AB26="")),'[1]LMP IN PPT'!O28,0))))))</f>
        <v>-27.486979999999999</v>
      </c>
      <c r="M26">
        <f>IF(AND('[1]LMP IN PPT'!$A28='[1]LMP IN MST'!$A26,'[1]LMP IN MST'!$Z26="ST",'[1]LMP IN MST'!$AA26="NORM",OR('[1]LMP IN MST'!$AB26="MAR",'[1]LMP IN MST'!$AB26="")),'[1]LMP IN PPT'!O28,IF(AND('[1]LMP IN PPT'!$A28='[1]LMP IN MST'!$A26,'[1]LMP IN MST'!$Z26="DST",'[1]LMP IN MST'!$AA26="FB",'[1]LMP IN MST'!$AB26="NOV"),'[1]LMP IN PPT'!P28,IF(AND('[1]LMP IN PPT'!$A28='[1]LMP IN MST'!$A26,'[1]LMP IN MST'!$Z26="ST",'[1]LMP IN MST'!$AA26="NORM",'[1]LMP IN MST'!$AB26="NOV"),'[1]LMP IN PPT'!P28,IF(AND('[1]LMP IN PPT'!$A28='[1]LMP IN MST'!$A26,'[1]LMP IN MST'!$Z26="DST",'[1]LMP IN MST'!$AA26="SF",'[1]LMP IN MST'!$AB26="MAR"),'[1]LMP IN PPT'!P28,IF(AND('[1]LMP IN PPT'!$A28='[1]LMP IN MST'!$A26,'[1]LMP IN MST'!$Z26="DST",'[1]LMP IN MST'!$AA26="NORM",'[1]LMP IN MST'!$AB26="NOV"),'[1]LMP IN PPT'!Q28,IF(AND('[1]LMP IN PPT'!$A28='[1]LMP IN MST'!$A26,'[1]LMP IN MST'!$Z26="DST",'[1]LMP IN MST'!$AA26="NORM",OR('[1]LMP IN MST'!$AB26="MAR",'[1]LMP IN MST'!$AB26="")),'[1]LMP IN PPT'!P28,0))))))</f>
        <v>-30.824590000000001</v>
      </c>
      <c r="N26">
        <f>IF(AND('[1]LMP IN PPT'!$A28='[1]LMP IN MST'!$A26,'[1]LMP IN MST'!$Z26="ST",'[1]LMP IN MST'!$AA26="NORM",OR('[1]LMP IN MST'!$AB26="MAR",'[1]LMP IN MST'!$AB26="")),'[1]LMP IN PPT'!P28,IF(AND('[1]LMP IN PPT'!$A28='[1]LMP IN MST'!$A26,'[1]LMP IN MST'!$Z26="DST",'[1]LMP IN MST'!$AA26="FB",'[1]LMP IN MST'!$AB26="NOV"),'[1]LMP IN PPT'!Q28,IF(AND('[1]LMP IN PPT'!$A28='[1]LMP IN MST'!$A26,'[1]LMP IN MST'!$Z26="ST",'[1]LMP IN MST'!$AA26="NORM",'[1]LMP IN MST'!$AB26="NOV"),'[1]LMP IN PPT'!Q28,IF(AND('[1]LMP IN PPT'!$A28='[1]LMP IN MST'!$A26,'[1]LMP IN MST'!$Z26="DST",'[1]LMP IN MST'!$AA26="SF",'[1]LMP IN MST'!$AB26="MAR"),'[1]LMP IN PPT'!Q28,IF(AND('[1]LMP IN PPT'!$A28='[1]LMP IN MST'!$A26,'[1]LMP IN MST'!$Z26="DST",'[1]LMP IN MST'!$AA26="NORM",'[1]LMP IN MST'!$AB26="NOV"),'[1]LMP IN PPT'!R28,IF(AND('[1]LMP IN PPT'!$A28='[1]LMP IN MST'!$A26,'[1]LMP IN MST'!$Z26="DST",'[1]LMP IN MST'!$AA26="NORM",OR('[1]LMP IN MST'!$AB26="MAR",'[1]LMP IN MST'!$AB26="")),'[1]LMP IN PPT'!Q28,0))))))</f>
        <v>-32.97381</v>
      </c>
      <c r="O26">
        <f>IF(AND('[1]LMP IN PPT'!$A28='[1]LMP IN MST'!$A26,'[1]LMP IN MST'!$Z26="ST",'[1]LMP IN MST'!$AA26="NORM",OR('[1]LMP IN MST'!$AB26="MAR",'[1]LMP IN MST'!$AB26="")),'[1]LMP IN PPT'!Q28,IF(AND('[1]LMP IN PPT'!$A28='[1]LMP IN MST'!$A26,'[1]LMP IN MST'!$Z26="DST",'[1]LMP IN MST'!$AA26="FB",'[1]LMP IN MST'!$AB26="NOV"),'[1]LMP IN PPT'!R28,IF(AND('[1]LMP IN PPT'!$A28='[1]LMP IN MST'!$A26,'[1]LMP IN MST'!$Z26="ST",'[1]LMP IN MST'!$AA26="NORM",'[1]LMP IN MST'!$AB26="NOV"),'[1]LMP IN PPT'!R28,IF(AND('[1]LMP IN PPT'!$A28='[1]LMP IN MST'!$A26,'[1]LMP IN MST'!$Z26="DST",'[1]LMP IN MST'!$AA26="SF",'[1]LMP IN MST'!$AB26="MAR"),'[1]LMP IN PPT'!R28,IF(AND('[1]LMP IN PPT'!$A28='[1]LMP IN MST'!$A26,'[1]LMP IN MST'!$Z26="DST",'[1]LMP IN MST'!$AA26="NORM",'[1]LMP IN MST'!$AB26="NOV"),'[1]LMP IN PPT'!S28,IF(AND('[1]LMP IN PPT'!$A28='[1]LMP IN MST'!$A26,'[1]LMP IN MST'!$Z26="DST",'[1]LMP IN MST'!$AA26="NORM",OR('[1]LMP IN MST'!$AB26="MAR",'[1]LMP IN MST'!$AB26="")),'[1]LMP IN PPT'!R28,0))))))</f>
        <v>-35.718980000000002</v>
      </c>
      <c r="P26">
        <f>IF(AND('[1]LMP IN PPT'!$A28='[1]LMP IN MST'!$A26,'[1]LMP IN MST'!$Z26="ST",'[1]LMP IN MST'!$AA26="NORM",OR('[1]LMP IN MST'!$AB26="MAR",'[1]LMP IN MST'!$AB26="")),'[1]LMP IN PPT'!R28,IF(AND('[1]LMP IN PPT'!$A28='[1]LMP IN MST'!$A26,'[1]LMP IN MST'!$Z26="DST",'[1]LMP IN MST'!$AA26="FB",'[1]LMP IN MST'!$AB26="NOV"),'[1]LMP IN PPT'!S28,IF(AND('[1]LMP IN PPT'!$A28='[1]LMP IN MST'!$A26,'[1]LMP IN MST'!$Z26="ST",'[1]LMP IN MST'!$AA26="NORM",'[1]LMP IN MST'!$AB26="NOV"),'[1]LMP IN PPT'!S28,IF(AND('[1]LMP IN PPT'!$A28='[1]LMP IN MST'!$A26,'[1]LMP IN MST'!$Z26="DST",'[1]LMP IN MST'!$AA26="SF",'[1]LMP IN MST'!$AB26="MAR"),'[1]LMP IN PPT'!S28,IF(AND('[1]LMP IN PPT'!$A28='[1]LMP IN MST'!$A26,'[1]LMP IN MST'!$Z26="DST",'[1]LMP IN MST'!$AA26="NORM",'[1]LMP IN MST'!$AB26="NOV"),'[1]LMP IN PPT'!T28,IF(AND('[1]LMP IN PPT'!$A28='[1]LMP IN MST'!$A26,'[1]LMP IN MST'!$Z26="DST",'[1]LMP IN MST'!$AA26="NORM",OR('[1]LMP IN MST'!$AB26="MAR",'[1]LMP IN MST'!$AB26="")),'[1]LMP IN PPT'!S28,0))))))</f>
        <v>-35.63064</v>
      </c>
      <c r="Q26">
        <f>IF(AND('[1]LMP IN PPT'!$A28='[1]LMP IN MST'!$A26,'[1]LMP IN MST'!$Z26="ST",'[1]LMP IN MST'!$AA26="NORM",OR('[1]LMP IN MST'!$AB26="MAR",'[1]LMP IN MST'!$AB26="")),'[1]LMP IN PPT'!S28,IF(AND('[1]LMP IN PPT'!$A28='[1]LMP IN MST'!$A26,'[1]LMP IN MST'!$Z26="DST",'[1]LMP IN MST'!$AA26="FB",'[1]LMP IN MST'!$AB26="NOV"),'[1]LMP IN PPT'!T28,IF(AND('[1]LMP IN PPT'!$A28='[1]LMP IN MST'!$A26,'[1]LMP IN MST'!$Z26="ST",'[1]LMP IN MST'!$AA26="NORM",'[1]LMP IN MST'!$AB26="NOV"),'[1]LMP IN PPT'!T28,IF(AND('[1]LMP IN PPT'!$A28='[1]LMP IN MST'!$A26,'[1]LMP IN MST'!$Z26="DST",'[1]LMP IN MST'!$AA26="SF",'[1]LMP IN MST'!$AB26="MAR"),'[1]LMP IN PPT'!T28,IF(AND('[1]LMP IN PPT'!$A28='[1]LMP IN MST'!$A26,'[1]LMP IN MST'!$Z26="DST",'[1]LMP IN MST'!$AA26="NORM",'[1]LMP IN MST'!$AB26="NOV"),'[1]LMP IN PPT'!U28,IF(AND('[1]LMP IN PPT'!$A28='[1]LMP IN MST'!$A26,'[1]LMP IN MST'!$Z26="DST",'[1]LMP IN MST'!$AA26="NORM",OR('[1]LMP IN MST'!$AB26="MAR",'[1]LMP IN MST'!$AB26="")),'[1]LMP IN PPT'!T28,0))))))</f>
        <v>-33.113810000000001</v>
      </c>
      <c r="R26">
        <f>IF(AND('[1]LMP IN PPT'!$A28='[1]LMP IN MST'!$A26,'[1]LMP IN MST'!$Z26="ST",'[1]LMP IN MST'!$AA26="NORM",OR('[1]LMP IN MST'!$AB26="MAR",'[1]LMP IN MST'!$AB26="")),'[1]LMP IN PPT'!T28,IF(AND('[1]LMP IN PPT'!$A28='[1]LMP IN MST'!$A26,'[1]LMP IN MST'!$Z26="DST",'[1]LMP IN MST'!$AA26="FB",'[1]LMP IN MST'!$AB26="NOV"),'[1]LMP IN PPT'!U28,IF(AND('[1]LMP IN PPT'!$A28='[1]LMP IN MST'!$A26,'[1]LMP IN MST'!$Z26="ST",'[1]LMP IN MST'!$AA26="NORM",'[1]LMP IN MST'!$AB26="NOV"),'[1]LMP IN PPT'!U28,IF(AND('[1]LMP IN PPT'!$A28='[1]LMP IN MST'!$A26,'[1]LMP IN MST'!$Z26="DST",'[1]LMP IN MST'!$AA26="SF",'[1]LMP IN MST'!$AB26="MAR"),'[1]LMP IN PPT'!U28,IF(AND('[1]LMP IN PPT'!$A28='[1]LMP IN MST'!$A26,'[1]LMP IN MST'!$Z26="DST",'[1]LMP IN MST'!$AA26="NORM",'[1]LMP IN MST'!$AB26="NOV"),'[1]LMP IN PPT'!V28,IF(AND('[1]LMP IN PPT'!$A28='[1]LMP IN MST'!$A26,'[1]LMP IN MST'!$Z26="DST",'[1]LMP IN MST'!$AA26="NORM",OR('[1]LMP IN MST'!$AB26="MAR",'[1]LMP IN MST'!$AB26="")),'[1]LMP IN PPT'!U28,0))))))</f>
        <v>-18.494119999999999</v>
      </c>
      <c r="S26">
        <f>IF(AND('[1]LMP IN PPT'!$A28='[1]LMP IN MST'!$A26,'[1]LMP IN MST'!$Z26="ST",'[1]LMP IN MST'!$AA26="NORM",OR('[1]LMP IN MST'!$AB26="MAR",'[1]LMP IN MST'!$AB26="")),'[1]LMP IN PPT'!U28,IF(AND('[1]LMP IN PPT'!$A28='[1]LMP IN MST'!$A26,'[1]LMP IN MST'!$Z26="DST",'[1]LMP IN MST'!$AA26="FB",'[1]LMP IN MST'!$AB26="NOV"),'[1]LMP IN PPT'!V28,IF(AND('[1]LMP IN PPT'!$A28='[1]LMP IN MST'!$A26,'[1]LMP IN MST'!$Z26="ST",'[1]LMP IN MST'!$AA26="NORM",'[1]LMP IN MST'!$AB26="NOV"),'[1]LMP IN PPT'!V28,IF(AND('[1]LMP IN PPT'!$A28='[1]LMP IN MST'!$A26,'[1]LMP IN MST'!$Z26="DST",'[1]LMP IN MST'!$AA26="SF",'[1]LMP IN MST'!$AB26="MAR"),'[1]LMP IN PPT'!V28,IF(AND('[1]LMP IN PPT'!$A28='[1]LMP IN MST'!$A26,'[1]LMP IN MST'!$Z26="DST",'[1]LMP IN MST'!$AA26="NORM",'[1]LMP IN MST'!$AB26="NOV"),'[1]LMP IN PPT'!W28,IF(AND('[1]LMP IN PPT'!$A28='[1]LMP IN MST'!$A26,'[1]LMP IN MST'!$Z26="DST",'[1]LMP IN MST'!$AA26="NORM",OR('[1]LMP IN MST'!$AB26="MAR",'[1]LMP IN MST'!$AB26="")),'[1]LMP IN PPT'!V28,0))))))</f>
        <v>8.0983199999999993</v>
      </c>
      <c r="T26">
        <f>IF(AND('[1]LMP IN PPT'!$A28='[1]LMP IN MST'!$A26,'[1]LMP IN MST'!$Z26="ST",'[1]LMP IN MST'!$AA26="NORM",OR('[1]LMP IN MST'!$AB26="MAR",'[1]LMP IN MST'!$AB26="")),'[1]LMP IN PPT'!V28,IF(AND('[1]LMP IN PPT'!$A28='[1]LMP IN MST'!$A26,'[1]LMP IN MST'!$Z26="DST",'[1]LMP IN MST'!$AA26="FB",'[1]LMP IN MST'!$AB26="NOV"),'[1]LMP IN PPT'!W28,IF(AND('[1]LMP IN PPT'!$A28='[1]LMP IN MST'!$A26,'[1]LMP IN MST'!$Z26="ST",'[1]LMP IN MST'!$AA26="NORM",'[1]LMP IN MST'!$AB26="NOV"),'[1]LMP IN PPT'!W28,IF(AND('[1]LMP IN PPT'!$A28='[1]LMP IN MST'!$A26,'[1]LMP IN MST'!$Z26="DST",'[1]LMP IN MST'!$AA26="SF",'[1]LMP IN MST'!$AB26="MAR"),'[1]LMP IN PPT'!W28,IF(AND('[1]LMP IN PPT'!$A28='[1]LMP IN MST'!$A26,'[1]LMP IN MST'!$Z26="DST",'[1]LMP IN MST'!$AA26="NORM",'[1]LMP IN MST'!$AB26="NOV"),'[1]LMP IN PPT'!X28,IF(AND('[1]LMP IN PPT'!$A28='[1]LMP IN MST'!$A26,'[1]LMP IN MST'!$Z26="DST",'[1]LMP IN MST'!$AA26="NORM",OR('[1]LMP IN MST'!$AB26="MAR",'[1]LMP IN MST'!$AB26="")),'[1]LMP IN PPT'!W28,0))))))</f>
        <v>32.018099999999997</v>
      </c>
      <c r="U26">
        <f>IF(AND('[1]LMP IN PPT'!$A28='[1]LMP IN MST'!$A26,'[1]LMP IN MST'!$Z26="ST",'[1]LMP IN MST'!$AA26="NORM",OR('[1]LMP IN MST'!$AB26="MAR",'[1]LMP IN MST'!$AB26="")),'[1]LMP IN PPT'!W28,IF(AND('[1]LMP IN PPT'!$A28='[1]LMP IN MST'!$A26,'[1]LMP IN MST'!$Z26="DST",'[1]LMP IN MST'!$AA26="FB",'[1]LMP IN MST'!$AB26="NOV"),'[1]LMP IN PPT'!X28,IF(AND('[1]LMP IN PPT'!$A28='[1]LMP IN MST'!$A26,'[1]LMP IN MST'!$Z26="ST",'[1]LMP IN MST'!$AA26="NORM",'[1]LMP IN MST'!$AB26="NOV"),'[1]LMP IN PPT'!X28,IF(AND('[1]LMP IN PPT'!$A28='[1]LMP IN MST'!$A26,'[1]LMP IN MST'!$Z26="DST",'[1]LMP IN MST'!$AA26="SF",'[1]LMP IN MST'!$AB26="MAR"),'[1]LMP IN PPT'!X28,IF(AND('[1]LMP IN PPT'!$A28='[1]LMP IN MST'!$A26,'[1]LMP IN MST'!$Z26="DST",'[1]LMP IN MST'!$AA26="NORM",'[1]LMP IN MST'!$AB26="NOV"),'[1]LMP IN PPT'!Y28,IF(AND('[1]LMP IN PPT'!$A28='[1]LMP IN MST'!$A26,'[1]LMP IN MST'!$Z26="DST",'[1]LMP IN MST'!$AA26="NORM",OR('[1]LMP IN MST'!$AB26="MAR",'[1]LMP IN MST'!$AB26="")),'[1]LMP IN PPT'!X28,0))))))</f>
        <v>37.386159999999997</v>
      </c>
      <c r="V26">
        <f>IF(AND('[1]LMP IN PPT'!$A28='[1]LMP IN MST'!$A26,'[1]LMP IN MST'!$Z26="ST",'[1]LMP IN MST'!$AA26="NORM",OR('[1]LMP IN MST'!$AB26="MAR",'[1]LMP IN MST'!$AB26="")),'[1]LMP IN PPT'!X28,IF(AND('[1]LMP IN PPT'!$A28='[1]LMP IN MST'!$A26,'[1]LMP IN MST'!$Z26="DST",'[1]LMP IN MST'!$AA26="FB",'[1]LMP IN MST'!$AB26="NOV"),'[1]LMP IN PPT'!Y28,IF(AND('[1]LMP IN PPT'!$A28='[1]LMP IN MST'!$A26,'[1]LMP IN MST'!$Z26="ST",'[1]LMP IN MST'!$AA26="NORM",'[1]LMP IN MST'!$AB26="NOV"),'[1]LMP IN PPT'!Y28,IF(AND('[1]LMP IN PPT'!$A28='[1]LMP IN MST'!$A26,'[1]LMP IN MST'!$Z26="DST",'[1]LMP IN MST'!$AA26="SF",'[1]LMP IN MST'!$AB26="MAR"),'[1]LMP IN PPT'!Y28,IF(AND('[1]LMP IN PPT'!$A28='[1]LMP IN MST'!$A26,'[1]LMP IN MST'!$Z26="DST",'[1]LMP IN MST'!$AA26="NORM",'[1]LMP IN MST'!$AB26="NOV"),'[1]LMP IN PPT'!Z28,IF(AND('[1]LMP IN PPT'!$A28='[1]LMP IN MST'!$A26,'[1]LMP IN MST'!$Z26="DST",'[1]LMP IN MST'!$AA26="NORM",OR('[1]LMP IN MST'!$AB26="MAR",'[1]LMP IN MST'!$AB26="")),'[1]LMP IN PPT'!Y28,0))))))</f>
        <v>37.593960000000003</v>
      </c>
      <c r="W26">
        <f>IF(AND('[1]LMP IN PPT'!$A28='[1]LMP IN MST'!$A26,'[1]LMP IN MST'!$Z26="ST",'[1]LMP IN MST'!$AA26="NORM",OR('[1]LMP IN MST'!$AB26="MAR",'[1]LMP IN MST'!$AB26="")),'[1]LMP IN PPT'!Y28,IF(AND('[1]LMP IN PPT'!$A28='[1]LMP IN MST'!$A26,'[1]LMP IN MST'!$Z26="DST",'[1]LMP IN MST'!$AA26="FB",'[1]LMP IN MST'!$AB26="NOV"),'[1]LMP IN PPT'!Z28,IF(AND('[1]LMP IN PPT'!$A28='[1]LMP IN MST'!$A26,'[1]LMP IN MST'!$Z26="ST",'[1]LMP IN MST'!$AA26="NORM",'[1]LMP IN MST'!$AB26="NOV"),'[1]LMP IN PPT'!Z28,IF(AND('[1]LMP IN PPT'!$A28='[1]LMP IN MST'!$A26,'[1]LMP IN MST'!$Z26="DST",'[1]LMP IN MST'!$AA26="SF",'[1]LMP IN MST'!$AB26="MAR"),'[1]LMP IN PPT'!Z28,IF(AND('[1]LMP IN PPT'!$A28='[1]LMP IN MST'!$A26,'[1]LMP IN MST'!$Z26="DST",'[1]LMP IN MST'!$AA26="NORM",'[1]LMP IN MST'!$AB26="NOV"),'[1]LMP IN PPT'!AA28,IF(AND('[1]LMP IN PPT'!$A28='[1]LMP IN MST'!$A26,'[1]LMP IN MST'!$Z26="DST",'[1]LMP IN MST'!$AA26="NORM",OR('[1]LMP IN MST'!$AB26="MAR",'[1]LMP IN MST'!$AB26="")),'[1]LMP IN PPT'!Z28,0))))))</f>
        <v>33.54195</v>
      </c>
      <c r="X26">
        <f>IF(AND('[1]LMP IN PPT'!$A28='[1]LMP IN MST'!$A26,'[1]LMP IN MST'!$Z26="ST",'[1]LMP IN MST'!$AA26="NORM",OR('[1]LMP IN MST'!$AB26="MAR",'[1]LMP IN MST'!$AB26="")),'[1]LMP IN PPT'!Z28,IF(AND('[1]LMP IN PPT'!$A28='[1]LMP IN MST'!$A26,'[1]LMP IN MST'!$Z26="DST",'[1]LMP IN MST'!$AA26="FB",'[1]LMP IN MST'!$AB26="NOV"),'[1]LMP IN PPT'!AA28,IF(AND('[1]LMP IN PPT'!$A28='[1]LMP IN MST'!$A26,'[1]LMP IN MST'!$Z26="ST",'[1]LMP IN MST'!$AA26="NORM",'[1]LMP IN MST'!$AB26="NOV"),'[1]LMP IN PPT'!AA28,IF(AND('[1]LMP IN PPT'!$A28='[1]LMP IN MST'!$A26,'[1]LMP IN MST'!$Z26="DST",'[1]LMP IN MST'!$AA26="SF",'[1]LMP IN MST'!$AB26="MAR"),'[1]LMP IN PPT'!AA28,IF(AND('[1]LMP IN PPT'!$A28='[1]LMP IN MST'!$A26,'[1]LMP IN MST'!$Z26="DST",'[1]LMP IN MST'!$AA26="NORM",'[1]LMP IN MST'!$AB26="NOV"),'[1]LMP IN PPT'!AB28,IF(AND('[1]LMP IN PPT'!$A28='[1]LMP IN MST'!$A26,'[1]LMP IN MST'!$Z26="DST",'[1]LMP IN MST'!$AA26="NORM",OR('[1]LMP IN MST'!$AB26="MAR",'[1]LMP IN MST'!$AB26="")),'[1]LMP IN PPT'!AA28,0))))))</f>
        <v>31.588100000000001</v>
      </c>
      <c r="Y26">
        <f>IF(AND('[1]LMP IN PPT'!$A28='[1]LMP IN MST'!$A26,'[1]LMP IN MST'!$Z26="ST",'[1]LMP IN MST'!$AA26="NORM",OR('[1]LMP IN MST'!$AB26="MAR",'[1]LMP IN MST'!$AB26="")),'[1]LMP IN PPT'!AA28,IF(AND('[1]LMP IN PPT'!$A28='[1]LMP IN MST'!$A26,'[1]LMP IN MST'!$Z26="DST",'[1]LMP IN MST'!$AA26="FB",'[1]LMP IN MST'!$AB26="NOV"),'[1]LMP IN PPT'!AB28,IF(AND('[1]LMP IN PPT'!$A28='[1]LMP IN MST'!$A26,'[1]LMP IN MST'!$Z26="ST",'[1]LMP IN MST'!$AA26="NORM",'[1]LMP IN MST'!$AB26="NOV"),'[1]LMP IN PPT'!AB28,IF(AND('[1]LMP IN PPT'!$A28='[1]LMP IN MST'!$A26,'[1]LMP IN MST'!$Z26="DST",'[1]LMP IN MST'!$AA26="SF",'[1]LMP IN MST'!$AB26="MAR"),'[1]LMP IN PPT'!AB28,IF(AND('[1]LMP IN PPT'!$A28='[1]LMP IN MST'!$A26,'[1]LMP IN MST'!$Z26="DST",'[1]LMP IN MST'!$AA26="NORM",'[1]LMP IN MST'!$AB26="NOV"),'[1]LMP IN PPT'!AC28,IF(AND('[1]LMP IN PPT'!$A28='[1]LMP IN MST'!$A26,'[1]LMP IN MST'!$Z26="DST",'[1]LMP IN MST'!$AA26="NORM",OR('[1]LMP IN MST'!$AB26="MAR",'[1]LMP IN MST'!$AB26="")),'[1]LMP IN PPT'!AB28,0))))))</f>
        <v>28.660699999999999</v>
      </c>
    </row>
    <row r="27" spans="1:25" x14ac:dyDescent="0.3">
      <c r="A27" s="1">
        <f t="shared" si="0"/>
        <v>45377</v>
      </c>
      <c r="B27">
        <f>IF(AND('[1]LMP IN PPT'!$A29='[1]LMP IN MST'!$A27,'[1]LMP IN MST'!$Z27="ST",'[1]LMP IN MST'!$AA27="NORM",'[1]LMP IN MST'!$AB27="NOV"),'[1]LMP IN PPT'!AC28,IF(AND('[1]LMP IN PPT'!$A29='[1]LMP IN MST'!$A27,'[1]LMP IN MST'!$Z27="ST",'[1]LMP IN MST'!$AA27="NORM",'[1]LMP IN MST'!$AB27="MAR"),'[1]LMP IN PPT'!AB28,IF(AND('[1]LMP IN PPT'!$A29='[1]LMP IN MST'!$A27,'[1]LMP IN MST'!$Z27="ST",'[1]LMP IN MST'!$AA27="NORM",'[1]LMP IN MST'!$AB27=""),'[1]LMP IN PPT'!AB28,IF(AND('[1]LMP IN PPT'!$A29='[1]LMP IN MST'!$A27,'[1]LMP IN MST'!$Z27="DST",'[1]LMP IN MST'!$AA27="FB",'[1]LMP IN MST'!$AB27="NOV"),'[1]LMP IN PPT'!E29,IF(AND('[1]LMP IN PPT'!$A29='[1]LMP IN MST'!$A27,'[1]LMP IN MST'!$Z27="DST",'[1]LMP IN MST'!$AA27="SF",'[1]LMP IN MST'!$AB27="MAR"),'[1]LMP IN PPT'!AB28,IF(AND('[1]LMP IN PPT'!$A29='[1]LMP IN MST'!$A27,'[1]LMP IN MST'!$Z27="DST",'[1]LMP IN MST'!$AA27="NORM",OR('[1]LMP IN MST'!$AB27="MAR",'[1]LMP IN MST'!$AB27="",'[1]LMP IN MST'!$AB27="NOV")),'[1]LMP IN PPT'!E29,0))))))</f>
        <v>28.72655</v>
      </c>
      <c r="C27">
        <f>IF(AND('[1]LMP IN PPT'!$A29='[1]LMP IN MST'!$A27,'[1]LMP IN MST'!$Z27="ST",'[1]LMP IN MST'!$AA27="NORM",OR('[1]LMP IN MST'!$AB27="NOV",'[1]LMP IN MST'!$AB27="MAR",'[1]LMP IN MST'!$AB27="")),'[1]LMP IN PPT'!E29,IF(AND('[1]LMP IN PPT'!$A29='[1]LMP IN MST'!$A27,'[1]LMP IN MST'!$Z27="DST",'[1]LMP IN MST'!$AA27="FB",'[1]LMP IN MST'!$AB27="NOV"),'[1]LMP IN PPT'!F29,IF(AND('[1]LMP IN PPT'!$A29='[1]LMP IN MST'!$A27,'[1]LMP IN MST'!$Z27="DST",'[1]LMP IN MST'!$AA27="SF",'[1]LMP IN MST'!$AB27="MAR"),'[1]LMP IN PPT'!E29,IF(AND('[1]LMP IN PPT'!$A29='[1]LMP IN MST'!$A27,'[1]LMP IN MST'!$Z27="DST",'[1]LMP IN MST'!$AA27="NORM",OR('[1]LMP IN MST'!$AB27="MAR",'[1]LMP IN MST'!$AB27="",'[1]LMP IN MST'!$AB27="NOV")),'[1]LMP IN PPT'!F29,0))))</f>
        <v>25.281739999999999</v>
      </c>
      <c r="D27">
        <f>IF(AND('[1]LMP IN PPT'!$A29='[1]LMP IN MST'!$A27,'[1]LMP IN MST'!$Z27="ST",'[1]LMP IN MST'!$AA27="NORM",OR('[1]LMP IN MST'!$AB27="NOV",'[1]LMP IN MST'!$AB27="MAR",'[1]LMP IN MST'!$AB27="")),'[1]LMP IN PPT'!F29,IF(AND('[1]LMP IN PPT'!$A29='[1]LMP IN MST'!$A27,'[1]LMP IN MST'!$Z27="DST",'[1]LMP IN MST'!$AA27="FB",'[1]LMP IN MST'!$AB27="NOV"),'[1]LMP IN PPT'!G29,IF(AND('[1]LMP IN PPT'!$A29='[1]LMP IN MST'!$A27,'[1]LMP IN MST'!$Z27="DST",'[1]LMP IN MST'!$AA27="SF",'[1]LMP IN MST'!$AB27="MAR"),'[1]LMP IN PPT'!F29,IF(AND('[1]LMP IN PPT'!$A29='[1]LMP IN MST'!$A27,'[1]LMP IN MST'!$Z27="DST",'[1]LMP IN MST'!$AA27="NORM",'[1]LMP IN MST'!$AB27="NOV"),'[1]LMP IN PPT'!H29,IF(AND('[1]LMP IN PPT'!$A29='[1]LMP IN MST'!$A27,'[1]LMP IN MST'!$Z27="DST",'[1]LMP IN MST'!$AA27="NORM",OR('[1]LMP IN MST'!$AB27="MAR",'[1]LMP IN MST'!$AB27="")),'[1]LMP IN PPT'!G29,0)))))</f>
        <v>22.657810000000001</v>
      </c>
      <c r="E27">
        <f>IF(AND('[1]LMP IN PPT'!$A29='[1]LMP IN MST'!$A27,'[1]LMP IN MST'!$Z27="ST",'[1]LMP IN MST'!$AA27="NORM",OR('[1]LMP IN MST'!$AB27="MAR",'[1]LMP IN MST'!$AB27="")),'[1]LMP IN PPT'!G29,IF(AND('[1]LMP IN PPT'!$A29='[1]LMP IN MST'!$A27,'[1]LMP IN MST'!$Z27="DST",'[1]LMP IN MST'!$AA27="FB",'[1]LMP IN MST'!$AB27="NOV"),'[1]LMP IN PPT'!H29,IF(AND('[1]LMP IN PPT'!$A29='[1]LMP IN MST'!$A27,'[1]LMP IN MST'!$Z27="ST",'[1]LMP IN MST'!$AA27="NORM",'[1]LMP IN MST'!$AB27="NOV"),'[1]LMP IN PPT'!H29,IF(AND('[1]LMP IN PPT'!$A29='[1]LMP IN MST'!$A27,'[1]LMP IN MST'!$Z27="DST",'[1]LMP IN MST'!$AA27="SF",'[1]LMP IN MST'!$AB27="MAR"),'[1]LMP IN PPT'!H29,IF(AND('[1]LMP IN PPT'!$A29='[1]LMP IN MST'!$A27,'[1]LMP IN MST'!$Z27="DST",'[1]LMP IN MST'!$AA27="NORM",'[1]LMP IN MST'!$AB27="NOV"),'[1]LMP IN PPT'!I29,IF(AND('[1]LMP IN PPT'!$A29='[1]LMP IN MST'!$A27,'[1]LMP IN MST'!$Z27="DST",'[1]LMP IN MST'!$AA27="NORM",OR('[1]LMP IN MST'!$AB27="MAR",'[1]LMP IN MST'!$AB27="")),'[1]LMP IN PPT'!H29,0))))))</f>
        <v>22.811540000000001</v>
      </c>
      <c r="F27">
        <f>IF(AND('[1]LMP IN PPT'!$A29='[1]LMP IN MST'!$A27,'[1]LMP IN MST'!$Z27="ST",'[1]LMP IN MST'!$AA27="NORM",OR('[1]LMP IN MST'!$AB27="MAR",'[1]LMP IN MST'!$AB27="")),'[1]LMP IN PPT'!H29,IF(AND('[1]LMP IN PPT'!$A29='[1]LMP IN MST'!$A27,'[1]LMP IN MST'!$Z27="DST",'[1]LMP IN MST'!$AA27="FB",'[1]LMP IN MST'!$AB27="NOV"),'[1]LMP IN PPT'!I29,IF(AND('[1]LMP IN PPT'!$A29='[1]LMP IN MST'!$A27,'[1]LMP IN MST'!$Z27="ST",'[1]LMP IN MST'!$AA27="NORM",'[1]LMP IN MST'!$AB27="NOV"),'[1]LMP IN PPT'!I29,IF(AND('[1]LMP IN PPT'!$A29='[1]LMP IN MST'!$A27,'[1]LMP IN MST'!$Z27="DST",'[1]LMP IN MST'!$AA27="SF",'[1]LMP IN MST'!$AB27="MAR"),'[1]LMP IN PPT'!I29,IF(AND('[1]LMP IN PPT'!$A29='[1]LMP IN MST'!$A27,'[1]LMP IN MST'!$Z27="DST",'[1]LMP IN MST'!$AA27="NORM",'[1]LMP IN MST'!$AB27="NOV"),'[1]LMP IN PPT'!J29,IF(AND('[1]LMP IN PPT'!$A29='[1]LMP IN MST'!$A27,'[1]LMP IN MST'!$Z27="DST",'[1]LMP IN MST'!$AA27="NORM",OR('[1]LMP IN MST'!$AB27="MAR",'[1]LMP IN MST'!$AB27="")),'[1]LMP IN PPT'!I29,0))))))</f>
        <v>24.30782</v>
      </c>
      <c r="G27">
        <f>IF(AND('[1]LMP IN PPT'!$A29='[1]LMP IN MST'!$A27,'[1]LMP IN MST'!$Z27="ST",'[1]LMP IN MST'!$AA27="NORM",OR('[1]LMP IN MST'!$AB27="MAR",'[1]LMP IN MST'!$AB27="")),'[1]LMP IN PPT'!I29,IF(AND('[1]LMP IN PPT'!$A29='[1]LMP IN MST'!$A27,'[1]LMP IN MST'!$Z27="DST",'[1]LMP IN MST'!$AA27="FB",'[1]LMP IN MST'!$AB27="NOV"),'[1]LMP IN PPT'!J29,IF(AND('[1]LMP IN PPT'!$A29='[1]LMP IN MST'!$A27,'[1]LMP IN MST'!$Z27="ST",'[1]LMP IN MST'!$AA27="NORM",'[1]LMP IN MST'!$AB27="NOV"),'[1]LMP IN PPT'!J29,IF(AND('[1]LMP IN PPT'!$A29='[1]LMP IN MST'!$A27,'[1]LMP IN MST'!$Z27="DST",'[1]LMP IN MST'!$AA27="SF",'[1]LMP IN MST'!$AB27="MAR"),'[1]LMP IN PPT'!J29,IF(AND('[1]LMP IN PPT'!$A29='[1]LMP IN MST'!$A27,'[1]LMP IN MST'!$Z27="DST",'[1]LMP IN MST'!$AA27="NORM",'[1]LMP IN MST'!$AB27="NOV"),'[1]LMP IN PPT'!K29,IF(AND('[1]LMP IN PPT'!$A29='[1]LMP IN MST'!$A27,'[1]LMP IN MST'!$Z27="DST",'[1]LMP IN MST'!$AA27="NORM",OR('[1]LMP IN MST'!$AB27="MAR",'[1]LMP IN MST'!$AB27="")),'[1]LMP IN PPT'!J29,0))))))</f>
        <v>29.955210000000001</v>
      </c>
      <c r="H27">
        <f>IF(AND('[1]LMP IN PPT'!$A29='[1]LMP IN MST'!$A27,'[1]LMP IN MST'!$Z27="ST",'[1]LMP IN MST'!$AA27="NORM",OR('[1]LMP IN MST'!$AB27="MAR",'[1]LMP IN MST'!$AB27="")),'[1]LMP IN PPT'!J29,IF(AND('[1]LMP IN PPT'!$A29='[1]LMP IN MST'!$A27,'[1]LMP IN MST'!$Z27="DST",'[1]LMP IN MST'!$AA27="FB",'[1]LMP IN MST'!$AB27="NOV"),'[1]LMP IN PPT'!K29,IF(AND('[1]LMP IN PPT'!$A29='[1]LMP IN MST'!$A27,'[1]LMP IN MST'!$Z27="ST",'[1]LMP IN MST'!$AA27="NORM",'[1]LMP IN MST'!$AB27="NOV"),'[1]LMP IN PPT'!K29,IF(AND('[1]LMP IN PPT'!$A29='[1]LMP IN MST'!$A27,'[1]LMP IN MST'!$Z27="DST",'[1]LMP IN MST'!$AA27="SF",'[1]LMP IN MST'!$AB27="MAR"),'[1]LMP IN PPT'!K29,IF(AND('[1]LMP IN PPT'!$A29='[1]LMP IN MST'!$A27,'[1]LMP IN MST'!$Z27="DST",'[1]LMP IN MST'!$AA27="NORM",'[1]LMP IN MST'!$AB27="NOV"),'[1]LMP IN PPT'!L29,IF(AND('[1]LMP IN PPT'!$A29='[1]LMP IN MST'!$A27,'[1]LMP IN MST'!$Z27="DST",'[1]LMP IN MST'!$AA27="NORM",OR('[1]LMP IN MST'!$AB27="MAR",'[1]LMP IN MST'!$AB27="")),'[1]LMP IN PPT'!K29,0))))))</f>
        <v>37.771250000000002</v>
      </c>
      <c r="I27">
        <f>IF(AND('[1]LMP IN PPT'!$A29='[1]LMP IN MST'!$A27,'[1]LMP IN MST'!$Z27="ST",'[1]LMP IN MST'!$AA27="NORM",OR('[1]LMP IN MST'!$AB27="MAR",'[1]LMP IN MST'!$AB27="")),'[1]LMP IN PPT'!K29,IF(AND('[1]LMP IN PPT'!$A29='[1]LMP IN MST'!$A27,'[1]LMP IN MST'!$Z27="DST",'[1]LMP IN MST'!$AA27="FB",'[1]LMP IN MST'!$AB27="NOV"),'[1]LMP IN PPT'!L29,IF(AND('[1]LMP IN PPT'!$A29='[1]LMP IN MST'!$A27,'[1]LMP IN MST'!$Z27="ST",'[1]LMP IN MST'!$AA27="NORM",'[1]LMP IN MST'!$AB27="NOV"),'[1]LMP IN PPT'!L29,IF(AND('[1]LMP IN PPT'!$A29='[1]LMP IN MST'!$A27,'[1]LMP IN MST'!$Z27="DST",'[1]LMP IN MST'!$AA27="SF",'[1]LMP IN MST'!$AB27="MAR"),'[1]LMP IN PPT'!L29,IF(AND('[1]LMP IN PPT'!$A29='[1]LMP IN MST'!$A27,'[1]LMP IN MST'!$Z27="DST",'[1]LMP IN MST'!$AA27="NORM",'[1]LMP IN MST'!$AB27="NOV"),'[1]LMP IN PPT'!M29,IF(AND('[1]LMP IN PPT'!$A29='[1]LMP IN MST'!$A27,'[1]LMP IN MST'!$Z27="DST",'[1]LMP IN MST'!$AA27="NORM",OR('[1]LMP IN MST'!$AB27="MAR",'[1]LMP IN MST'!$AB27="")),'[1]LMP IN PPT'!L29,0))))))</f>
        <v>31.743020000000001</v>
      </c>
      <c r="J27">
        <f>IF(AND('[1]LMP IN PPT'!$A29='[1]LMP IN MST'!$A27,'[1]LMP IN MST'!$Z27="ST",'[1]LMP IN MST'!$AA27="NORM",OR('[1]LMP IN MST'!$AB27="MAR",'[1]LMP IN MST'!$AB27="")),'[1]LMP IN PPT'!L29,IF(AND('[1]LMP IN PPT'!$A29='[1]LMP IN MST'!$A27,'[1]LMP IN MST'!$Z27="DST",'[1]LMP IN MST'!$AA27="FB",'[1]LMP IN MST'!$AB27="NOV"),'[1]LMP IN PPT'!M29,IF(AND('[1]LMP IN PPT'!$A29='[1]LMP IN MST'!$A27,'[1]LMP IN MST'!$Z27="ST",'[1]LMP IN MST'!$AA27="NORM",'[1]LMP IN MST'!$AB27="NOV"),'[1]LMP IN PPT'!M29,IF(AND('[1]LMP IN PPT'!$A29='[1]LMP IN MST'!$A27,'[1]LMP IN MST'!$Z27="DST",'[1]LMP IN MST'!$AA27="SF",'[1]LMP IN MST'!$AB27="MAR"),'[1]LMP IN PPT'!M29,IF(AND('[1]LMP IN PPT'!$A29='[1]LMP IN MST'!$A27,'[1]LMP IN MST'!$Z27="DST",'[1]LMP IN MST'!$AA27="NORM",'[1]LMP IN MST'!$AB27="NOV"),'[1]LMP IN PPT'!N29,IF(AND('[1]LMP IN PPT'!$A29='[1]LMP IN MST'!$A27,'[1]LMP IN MST'!$Z27="DST",'[1]LMP IN MST'!$AA27="NORM",OR('[1]LMP IN MST'!$AB27="MAR",'[1]LMP IN MST'!$AB27="")),'[1]LMP IN PPT'!M29,0))))))</f>
        <v>-6.1465399999999999</v>
      </c>
      <c r="K27">
        <f>IF(AND('[1]LMP IN PPT'!$A29='[1]LMP IN MST'!$A27,'[1]LMP IN MST'!$Z27="ST",'[1]LMP IN MST'!$AA27="NORM",OR('[1]LMP IN MST'!$AB27="MAR",'[1]LMP IN MST'!$AB27="")),'[1]LMP IN PPT'!M29,IF(AND('[1]LMP IN PPT'!$A29='[1]LMP IN MST'!$A27,'[1]LMP IN MST'!$Z27="DST",'[1]LMP IN MST'!$AA27="FB",'[1]LMP IN MST'!$AB27="NOV"),'[1]LMP IN PPT'!N29,IF(AND('[1]LMP IN PPT'!$A29='[1]LMP IN MST'!$A27,'[1]LMP IN MST'!$Z27="ST",'[1]LMP IN MST'!$AA27="NORM",'[1]LMP IN MST'!$AB27="NOV"),'[1]LMP IN PPT'!N29,IF(AND('[1]LMP IN PPT'!$A29='[1]LMP IN MST'!$A27,'[1]LMP IN MST'!$Z27="DST",'[1]LMP IN MST'!$AA27="SF",'[1]LMP IN MST'!$AB27="MAR"),'[1]LMP IN PPT'!N29,IF(AND('[1]LMP IN PPT'!$A29='[1]LMP IN MST'!$A27,'[1]LMP IN MST'!$Z27="DST",'[1]LMP IN MST'!$AA27="NORM",'[1]LMP IN MST'!$AB27="NOV"),'[1]LMP IN PPT'!O29,IF(AND('[1]LMP IN PPT'!$A29='[1]LMP IN MST'!$A27,'[1]LMP IN MST'!$Z27="DST",'[1]LMP IN MST'!$AA27="NORM",OR('[1]LMP IN MST'!$AB27="MAR",'[1]LMP IN MST'!$AB27="")),'[1]LMP IN PPT'!N29,0))))))</f>
        <v>-35.116129999999998</v>
      </c>
      <c r="L27">
        <f>IF(AND('[1]LMP IN PPT'!$A29='[1]LMP IN MST'!$A27,'[1]LMP IN MST'!$Z27="ST",'[1]LMP IN MST'!$AA27="NORM",OR('[1]LMP IN MST'!$AB27="MAR",'[1]LMP IN MST'!$AB27="")),'[1]LMP IN PPT'!N29,IF(AND('[1]LMP IN PPT'!$A29='[1]LMP IN MST'!$A27,'[1]LMP IN MST'!$Z27="DST",'[1]LMP IN MST'!$AA27="FB",'[1]LMP IN MST'!$AB27="NOV"),'[1]LMP IN PPT'!O29,IF(AND('[1]LMP IN PPT'!$A29='[1]LMP IN MST'!$A27,'[1]LMP IN MST'!$Z27="ST",'[1]LMP IN MST'!$AA27="NORM",'[1]LMP IN MST'!$AB27="NOV"),'[1]LMP IN PPT'!O29,IF(AND('[1]LMP IN PPT'!$A29='[1]LMP IN MST'!$A27,'[1]LMP IN MST'!$Z27="DST",'[1]LMP IN MST'!$AA27="SF",'[1]LMP IN MST'!$AB27="MAR"),'[1]LMP IN PPT'!O29,IF(AND('[1]LMP IN PPT'!$A29='[1]LMP IN MST'!$A27,'[1]LMP IN MST'!$Z27="DST",'[1]LMP IN MST'!$AA27="NORM",'[1]LMP IN MST'!$AB27="NOV"),'[1]LMP IN PPT'!P29,IF(AND('[1]LMP IN PPT'!$A29='[1]LMP IN MST'!$A27,'[1]LMP IN MST'!$Z27="DST",'[1]LMP IN MST'!$AA27="NORM",OR('[1]LMP IN MST'!$AB27="MAR",'[1]LMP IN MST'!$AB27="")),'[1]LMP IN PPT'!O29,0))))))</f>
        <v>-38.674619999999997</v>
      </c>
      <c r="M27">
        <f>IF(AND('[1]LMP IN PPT'!$A29='[1]LMP IN MST'!$A27,'[1]LMP IN MST'!$Z27="ST",'[1]LMP IN MST'!$AA27="NORM",OR('[1]LMP IN MST'!$AB27="MAR",'[1]LMP IN MST'!$AB27="")),'[1]LMP IN PPT'!O29,IF(AND('[1]LMP IN PPT'!$A29='[1]LMP IN MST'!$A27,'[1]LMP IN MST'!$Z27="DST",'[1]LMP IN MST'!$AA27="FB",'[1]LMP IN MST'!$AB27="NOV"),'[1]LMP IN PPT'!P29,IF(AND('[1]LMP IN PPT'!$A29='[1]LMP IN MST'!$A27,'[1]LMP IN MST'!$Z27="ST",'[1]LMP IN MST'!$AA27="NORM",'[1]LMP IN MST'!$AB27="NOV"),'[1]LMP IN PPT'!P29,IF(AND('[1]LMP IN PPT'!$A29='[1]LMP IN MST'!$A27,'[1]LMP IN MST'!$Z27="DST",'[1]LMP IN MST'!$AA27="SF",'[1]LMP IN MST'!$AB27="MAR"),'[1]LMP IN PPT'!P29,IF(AND('[1]LMP IN PPT'!$A29='[1]LMP IN MST'!$A27,'[1]LMP IN MST'!$Z27="DST",'[1]LMP IN MST'!$AA27="NORM",'[1]LMP IN MST'!$AB27="NOV"),'[1]LMP IN PPT'!Q29,IF(AND('[1]LMP IN PPT'!$A29='[1]LMP IN MST'!$A27,'[1]LMP IN MST'!$Z27="DST",'[1]LMP IN MST'!$AA27="NORM",OR('[1]LMP IN MST'!$AB27="MAR",'[1]LMP IN MST'!$AB27="")),'[1]LMP IN PPT'!P29,0))))))</f>
        <v>-40.313220000000001</v>
      </c>
      <c r="N27">
        <f>IF(AND('[1]LMP IN PPT'!$A29='[1]LMP IN MST'!$A27,'[1]LMP IN MST'!$Z27="ST",'[1]LMP IN MST'!$AA27="NORM",OR('[1]LMP IN MST'!$AB27="MAR",'[1]LMP IN MST'!$AB27="")),'[1]LMP IN PPT'!P29,IF(AND('[1]LMP IN PPT'!$A29='[1]LMP IN MST'!$A27,'[1]LMP IN MST'!$Z27="DST",'[1]LMP IN MST'!$AA27="FB",'[1]LMP IN MST'!$AB27="NOV"),'[1]LMP IN PPT'!Q29,IF(AND('[1]LMP IN PPT'!$A29='[1]LMP IN MST'!$A27,'[1]LMP IN MST'!$Z27="ST",'[1]LMP IN MST'!$AA27="NORM",'[1]LMP IN MST'!$AB27="NOV"),'[1]LMP IN PPT'!Q29,IF(AND('[1]LMP IN PPT'!$A29='[1]LMP IN MST'!$A27,'[1]LMP IN MST'!$Z27="DST",'[1]LMP IN MST'!$AA27="SF",'[1]LMP IN MST'!$AB27="MAR"),'[1]LMP IN PPT'!Q29,IF(AND('[1]LMP IN PPT'!$A29='[1]LMP IN MST'!$A27,'[1]LMP IN MST'!$Z27="DST",'[1]LMP IN MST'!$AA27="NORM",'[1]LMP IN MST'!$AB27="NOV"),'[1]LMP IN PPT'!R29,IF(AND('[1]LMP IN PPT'!$A29='[1]LMP IN MST'!$A27,'[1]LMP IN MST'!$Z27="DST",'[1]LMP IN MST'!$AA27="NORM",OR('[1]LMP IN MST'!$AB27="MAR",'[1]LMP IN MST'!$AB27="")),'[1]LMP IN PPT'!Q29,0))))))</f>
        <v>-41.84225</v>
      </c>
      <c r="O27">
        <f>IF(AND('[1]LMP IN PPT'!$A29='[1]LMP IN MST'!$A27,'[1]LMP IN MST'!$Z27="ST",'[1]LMP IN MST'!$AA27="NORM",OR('[1]LMP IN MST'!$AB27="MAR",'[1]LMP IN MST'!$AB27="")),'[1]LMP IN PPT'!Q29,IF(AND('[1]LMP IN PPT'!$A29='[1]LMP IN MST'!$A27,'[1]LMP IN MST'!$Z27="DST",'[1]LMP IN MST'!$AA27="FB",'[1]LMP IN MST'!$AB27="NOV"),'[1]LMP IN PPT'!R29,IF(AND('[1]LMP IN PPT'!$A29='[1]LMP IN MST'!$A27,'[1]LMP IN MST'!$Z27="ST",'[1]LMP IN MST'!$AA27="NORM",'[1]LMP IN MST'!$AB27="NOV"),'[1]LMP IN PPT'!R29,IF(AND('[1]LMP IN PPT'!$A29='[1]LMP IN MST'!$A27,'[1]LMP IN MST'!$Z27="DST",'[1]LMP IN MST'!$AA27="SF",'[1]LMP IN MST'!$AB27="MAR"),'[1]LMP IN PPT'!R29,IF(AND('[1]LMP IN PPT'!$A29='[1]LMP IN MST'!$A27,'[1]LMP IN MST'!$Z27="DST",'[1]LMP IN MST'!$AA27="NORM",'[1]LMP IN MST'!$AB27="NOV"),'[1]LMP IN PPT'!S29,IF(AND('[1]LMP IN PPT'!$A29='[1]LMP IN MST'!$A27,'[1]LMP IN MST'!$Z27="DST",'[1]LMP IN MST'!$AA27="NORM",OR('[1]LMP IN MST'!$AB27="MAR",'[1]LMP IN MST'!$AB27="")),'[1]LMP IN PPT'!R29,0))))))</f>
        <v>-41.336109999999998</v>
      </c>
      <c r="P27">
        <f>IF(AND('[1]LMP IN PPT'!$A29='[1]LMP IN MST'!$A27,'[1]LMP IN MST'!$Z27="ST",'[1]LMP IN MST'!$AA27="NORM",OR('[1]LMP IN MST'!$AB27="MAR",'[1]LMP IN MST'!$AB27="")),'[1]LMP IN PPT'!R29,IF(AND('[1]LMP IN PPT'!$A29='[1]LMP IN MST'!$A27,'[1]LMP IN MST'!$Z27="DST",'[1]LMP IN MST'!$AA27="FB",'[1]LMP IN MST'!$AB27="NOV"),'[1]LMP IN PPT'!S29,IF(AND('[1]LMP IN PPT'!$A29='[1]LMP IN MST'!$A27,'[1]LMP IN MST'!$Z27="ST",'[1]LMP IN MST'!$AA27="NORM",'[1]LMP IN MST'!$AB27="NOV"),'[1]LMP IN PPT'!S29,IF(AND('[1]LMP IN PPT'!$A29='[1]LMP IN MST'!$A27,'[1]LMP IN MST'!$Z27="DST",'[1]LMP IN MST'!$AA27="SF",'[1]LMP IN MST'!$AB27="MAR"),'[1]LMP IN PPT'!S29,IF(AND('[1]LMP IN PPT'!$A29='[1]LMP IN MST'!$A27,'[1]LMP IN MST'!$Z27="DST",'[1]LMP IN MST'!$AA27="NORM",'[1]LMP IN MST'!$AB27="NOV"),'[1]LMP IN PPT'!T29,IF(AND('[1]LMP IN PPT'!$A29='[1]LMP IN MST'!$A27,'[1]LMP IN MST'!$Z27="DST",'[1]LMP IN MST'!$AA27="NORM",OR('[1]LMP IN MST'!$AB27="MAR",'[1]LMP IN MST'!$AB27="")),'[1]LMP IN PPT'!S29,0))))))</f>
        <v>-41.286479999999997</v>
      </c>
      <c r="Q27">
        <f>IF(AND('[1]LMP IN PPT'!$A29='[1]LMP IN MST'!$A27,'[1]LMP IN MST'!$Z27="ST",'[1]LMP IN MST'!$AA27="NORM",OR('[1]LMP IN MST'!$AB27="MAR",'[1]LMP IN MST'!$AB27="")),'[1]LMP IN PPT'!S29,IF(AND('[1]LMP IN PPT'!$A29='[1]LMP IN MST'!$A27,'[1]LMP IN MST'!$Z27="DST",'[1]LMP IN MST'!$AA27="FB",'[1]LMP IN MST'!$AB27="NOV"),'[1]LMP IN PPT'!T29,IF(AND('[1]LMP IN PPT'!$A29='[1]LMP IN MST'!$A27,'[1]LMP IN MST'!$Z27="ST",'[1]LMP IN MST'!$AA27="NORM",'[1]LMP IN MST'!$AB27="NOV"),'[1]LMP IN PPT'!T29,IF(AND('[1]LMP IN PPT'!$A29='[1]LMP IN MST'!$A27,'[1]LMP IN MST'!$Z27="DST",'[1]LMP IN MST'!$AA27="SF",'[1]LMP IN MST'!$AB27="MAR"),'[1]LMP IN PPT'!T29,IF(AND('[1]LMP IN PPT'!$A29='[1]LMP IN MST'!$A27,'[1]LMP IN MST'!$Z27="DST",'[1]LMP IN MST'!$AA27="NORM",'[1]LMP IN MST'!$AB27="NOV"),'[1]LMP IN PPT'!U29,IF(AND('[1]LMP IN PPT'!$A29='[1]LMP IN MST'!$A27,'[1]LMP IN MST'!$Z27="DST",'[1]LMP IN MST'!$AA27="NORM",OR('[1]LMP IN MST'!$AB27="MAR",'[1]LMP IN MST'!$AB27="")),'[1]LMP IN PPT'!T29,0))))))</f>
        <v>-40.430239999999998</v>
      </c>
      <c r="R27">
        <f>IF(AND('[1]LMP IN PPT'!$A29='[1]LMP IN MST'!$A27,'[1]LMP IN MST'!$Z27="ST",'[1]LMP IN MST'!$AA27="NORM",OR('[1]LMP IN MST'!$AB27="MAR",'[1]LMP IN MST'!$AB27="")),'[1]LMP IN PPT'!T29,IF(AND('[1]LMP IN PPT'!$A29='[1]LMP IN MST'!$A27,'[1]LMP IN MST'!$Z27="DST",'[1]LMP IN MST'!$AA27="FB",'[1]LMP IN MST'!$AB27="NOV"),'[1]LMP IN PPT'!U29,IF(AND('[1]LMP IN PPT'!$A29='[1]LMP IN MST'!$A27,'[1]LMP IN MST'!$Z27="ST",'[1]LMP IN MST'!$AA27="NORM",'[1]LMP IN MST'!$AB27="NOV"),'[1]LMP IN PPT'!U29,IF(AND('[1]LMP IN PPT'!$A29='[1]LMP IN MST'!$A27,'[1]LMP IN MST'!$Z27="DST",'[1]LMP IN MST'!$AA27="SF",'[1]LMP IN MST'!$AB27="MAR"),'[1]LMP IN PPT'!U29,IF(AND('[1]LMP IN PPT'!$A29='[1]LMP IN MST'!$A27,'[1]LMP IN MST'!$Z27="DST",'[1]LMP IN MST'!$AA27="NORM",'[1]LMP IN MST'!$AB27="NOV"),'[1]LMP IN PPT'!V29,IF(AND('[1]LMP IN PPT'!$A29='[1]LMP IN MST'!$A27,'[1]LMP IN MST'!$Z27="DST",'[1]LMP IN MST'!$AA27="NORM",OR('[1]LMP IN MST'!$AB27="MAR",'[1]LMP IN MST'!$AB27="")),'[1]LMP IN PPT'!U29,0))))))</f>
        <v>-37.669289999999997</v>
      </c>
      <c r="S27">
        <f>IF(AND('[1]LMP IN PPT'!$A29='[1]LMP IN MST'!$A27,'[1]LMP IN MST'!$Z27="ST",'[1]LMP IN MST'!$AA27="NORM",OR('[1]LMP IN MST'!$AB27="MAR",'[1]LMP IN MST'!$AB27="")),'[1]LMP IN PPT'!U29,IF(AND('[1]LMP IN PPT'!$A29='[1]LMP IN MST'!$A27,'[1]LMP IN MST'!$Z27="DST",'[1]LMP IN MST'!$AA27="FB",'[1]LMP IN MST'!$AB27="NOV"),'[1]LMP IN PPT'!V29,IF(AND('[1]LMP IN PPT'!$A29='[1]LMP IN MST'!$A27,'[1]LMP IN MST'!$Z27="ST",'[1]LMP IN MST'!$AA27="NORM",'[1]LMP IN MST'!$AB27="NOV"),'[1]LMP IN PPT'!V29,IF(AND('[1]LMP IN PPT'!$A29='[1]LMP IN MST'!$A27,'[1]LMP IN MST'!$Z27="DST",'[1]LMP IN MST'!$AA27="SF",'[1]LMP IN MST'!$AB27="MAR"),'[1]LMP IN PPT'!V29,IF(AND('[1]LMP IN PPT'!$A29='[1]LMP IN MST'!$A27,'[1]LMP IN MST'!$Z27="DST",'[1]LMP IN MST'!$AA27="NORM",'[1]LMP IN MST'!$AB27="NOV"),'[1]LMP IN PPT'!W29,IF(AND('[1]LMP IN PPT'!$A29='[1]LMP IN MST'!$A27,'[1]LMP IN MST'!$Z27="DST",'[1]LMP IN MST'!$AA27="NORM",OR('[1]LMP IN MST'!$AB27="MAR",'[1]LMP IN MST'!$AB27="")),'[1]LMP IN PPT'!V29,0))))))</f>
        <v>-12.517939999999999</v>
      </c>
      <c r="T27">
        <f>IF(AND('[1]LMP IN PPT'!$A29='[1]LMP IN MST'!$A27,'[1]LMP IN MST'!$Z27="ST",'[1]LMP IN MST'!$AA27="NORM",OR('[1]LMP IN MST'!$AB27="MAR",'[1]LMP IN MST'!$AB27="")),'[1]LMP IN PPT'!V29,IF(AND('[1]LMP IN PPT'!$A29='[1]LMP IN MST'!$A27,'[1]LMP IN MST'!$Z27="DST",'[1]LMP IN MST'!$AA27="FB",'[1]LMP IN MST'!$AB27="NOV"),'[1]LMP IN PPT'!W29,IF(AND('[1]LMP IN PPT'!$A29='[1]LMP IN MST'!$A27,'[1]LMP IN MST'!$Z27="ST",'[1]LMP IN MST'!$AA27="NORM",'[1]LMP IN MST'!$AB27="NOV"),'[1]LMP IN PPT'!W29,IF(AND('[1]LMP IN PPT'!$A29='[1]LMP IN MST'!$A27,'[1]LMP IN MST'!$Z27="DST",'[1]LMP IN MST'!$AA27="SF",'[1]LMP IN MST'!$AB27="MAR"),'[1]LMP IN PPT'!W29,IF(AND('[1]LMP IN PPT'!$A29='[1]LMP IN MST'!$A27,'[1]LMP IN MST'!$Z27="DST",'[1]LMP IN MST'!$AA27="NORM",'[1]LMP IN MST'!$AB27="NOV"),'[1]LMP IN PPT'!X29,IF(AND('[1]LMP IN PPT'!$A29='[1]LMP IN MST'!$A27,'[1]LMP IN MST'!$Z27="DST",'[1]LMP IN MST'!$AA27="NORM",OR('[1]LMP IN MST'!$AB27="MAR",'[1]LMP IN MST'!$AB27="")),'[1]LMP IN PPT'!W29,0))))))</f>
        <v>31.873380000000001</v>
      </c>
      <c r="U27">
        <f>IF(AND('[1]LMP IN PPT'!$A29='[1]LMP IN MST'!$A27,'[1]LMP IN MST'!$Z27="ST",'[1]LMP IN MST'!$AA27="NORM",OR('[1]LMP IN MST'!$AB27="MAR",'[1]LMP IN MST'!$AB27="")),'[1]LMP IN PPT'!W29,IF(AND('[1]LMP IN PPT'!$A29='[1]LMP IN MST'!$A27,'[1]LMP IN MST'!$Z27="DST",'[1]LMP IN MST'!$AA27="FB",'[1]LMP IN MST'!$AB27="NOV"),'[1]LMP IN PPT'!X29,IF(AND('[1]LMP IN PPT'!$A29='[1]LMP IN MST'!$A27,'[1]LMP IN MST'!$Z27="ST",'[1]LMP IN MST'!$AA27="NORM",'[1]LMP IN MST'!$AB27="NOV"),'[1]LMP IN PPT'!X29,IF(AND('[1]LMP IN PPT'!$A29='[1]LMP IN MST'!$A27,'[1]LMP IN MST'!$Z27="DST",'[1]LMP IN MST'!$AA27="SF",'[1]LMP IN MST'!$AB27="MAR"),'[1]LMP IN PPT'!X29,IF(AND('[1]LMP IN PPT'!$A29='[1]LMP IN MST'!$A27,'[1]LMP IN MST'!$Z27="DST",'[1]LMP IN MST'!$AA27="NORM",'[1]LMP IN MST'!$AB27="NOV"),'[1]LMP IN PPT'!Y29,IF(AND('[1]LMP IN PPT'!$A29='[1]LMP IN MST'!$A27,'[1]LMP IN MST'!$Z27="DST",'[1]LMP IN MST'!$AA27="NORM",OR('[1]LMP IN MST'!$AB27="MAR",'[1]LMP IN MST'!$AB27="")),'[1]LMP IN PPT'!X29,0))))))</f>
        <v>35.537570000000002</v>
      </c>
      <c r="V27">
        <f>IF(AND('[1]LMP IN PPT'!$A29='[1]LMP IN MST'!$A27,'[1]LMP IN MST'!$Z27="ST",'[1]LMP IN MST'!$AA27="NORM",OR('[1]LMP IN MST'!$AB27="MAR",'[1]LMP IN MST'!$AB27="")),'[1]LMP IN PPT'!X29,IF(AND('[1]LMP IN PPT'!$A29='[1]LMP IN MST'!$A27,'[1]LMP IN MST'!$Z27="DST",'[1]LMP IN MST'!$AA27="FB",'[1]LMP IN MST'!$AB27="NOV"),'[1]LMP IN PPT'!Y29,IF(AND('[1]LMP IN PPT'!$A29='[1]LMP IN MST'!$A27,'[1]LMP IN MST'!$Z27="ST",'[1]LMP IN MST'!$AA27="NORM",'[1]LMP IN MST'!$AB27="NOV"),'[1]LMP IN PPT'!Y29,IF(AND('[1]LMP IN PPT'!$A29='[1]LMP IN MST'!$A27,'[1]LMP IN MST'!$Z27="DST",'[1]LMP IN MST'!$AA27="SF",'[1]LMP IN MST'!$AB27="MAR"),'[1]LMP IN PPT'!Y29,IF(AND('[1]LMP IN PPT'!$A29='[1]LMP IN MST'!$A27,'[1]LMP IN MST'!$Z27="DST",'[1]LMP IN MST'!$AA27="NORM",'[1]LMP IN MST'!$AB27="NOV"),'[1]LMP IN PPT'!Z29,IF(AND('[1]LMP IN PPT'!$A29='[1]LMP IN MST'!$A27,'[1]LMP IN MST'!$Z27="DST",'[1]LMP IN MST'!$AA27="NORM",OR('[1]LMP IN MST'!$AB27="MAR",'[1]LMP IN MST'!$AB27="")),'[1]LMP IN PPT'!Y29,0))))))</f>
        <v>36.050600000000003</v>
      </c>
      <c r="W27">
        <f>IF(AND('[1]LMP IN PPT'!$A29='[1]LMP IN MST'!$A27,'[1]LMP IN MST'!$Z27="ST",'[1]LMP IN MST'!$AA27="NORM",OR('[1]LMP IN MST'!$AB27="MAR",'[1]LMP IN MST'!$AB27="")),'[1]LMP IN PPT'!Y29,IF(AND('[1]LMP IN PPT'!$A29='[1]LMP IN MST'!$A27,'[1]LMP IN MST'!$Z27="DST",'[1]LMP IN MST'!$AA27="FB",'[1]LMP IN MST'!$AB27="NOV"),'[1]LMP IN PPT'!Z29,IF(AND('[1]LMP IN PPT'!$A29='[1]LMP IN MST'!$A27,'[1]LMP IN MST'!$Z27="ST",'[1]LMP IN MST'!$AA27="NORM",'[1]LMP IN MST'!$AB27="NOV"),'[1]LMP IN PPT'!Z29,IF(AND('[1]LMP IN PPT'!$A29='[1]LMP IN MST'!$A27,'[1]LMP IN MST'!$Z27="DST",'[1]LMP IN MST'!$AA27="SF",'[1]LMP IN MST'!$AB27="MAR"),'[1]LMP IN PPT'!Z29,IF(AND('[1]LMP IN PPT'!$A29='[1]LMP IN MST'!$A27,'[1]LMP IN MST'!$Z27="DST",'[1]LMP IN MST'!$AA27="NORM",'[1]LMP IN MST'!$AB27="NOV"),'[1]LMP IN PPT'!AA29,IF(AND('[1]LMP IN PPT'!$A29='[1]LMP IN MST'!$A27,'[1]LMP IN MST'!$Z27="DST",'[1]LMP IN MST'!$AA27="NORM",OR('[1]LMP IN MST'!$AB27="MAR",'[1]LMP IN MST'!$AB27="")),'[1]LMP IN PPT'!Z29,0))))))</f>
        <v>35.519660000000002</v>
      </c>
      <c r="X27">
        <f>IF(AND('[1]LMP IN PPT'!$A29='[1]LMP IN MST'!$A27,'[1]LMP IN MST'!$Z27="ST",'[1]LMP IN MST'!$AA27="NORM",OR('[1]LMP IN MST'!$AB27="MAR",'[1]LMP IN MST'!$AB27="")),'[1]LMP IN PPT'!Z29,IF(AND('[1]LMP IN PPT'!$A29='[1]LMP IN MST'!$A27,'[1]LMP IN MST'!$Z27="DST",'[1]LMP IN MST'!$AA27="FB",'[1]LMP IN MST'!$AB27="NOV"),'[1]LMP IN PPT'!AA29,IF(AND('[1]LMP IN PPT'!$A29='[1]LMP IN MST'!$A27,'[1]LMP IN MST'!$Z27="ST",'[1]LMP IN MST'!$AA27="NORM",'[1]LMP IN MST'!$AB27="NOV"),'[1]LMP IN PPT'!AA29,IF(AND('[1]LMP IN PPT'!$A29='[1]LMP IN MST'!$A27,'[1]LMP IN MST'!$Z27="DST",'[1]LMP IN MST'!$AA27="SF",'[1]LMP IN MST'!$AB27="MAR"),'[1]LMP IN PPT'!AA29,IF(AND('[1]LMP IN PPT'!$A29='[1]LMP IN MST'!$A27,'[1]LMP IN MST'!$Z27="DST",'[1]LMP IN MST'!$AA27="NORM",'[1]LMP IN MST'!$AB27="NOV"),'[1]LMP IN PPT'!AB29,IF(AND('[1]LMP IN PPT'!$A29='[1]LMP IN MST'!$A27,'[1]LMP IN MST'!$Z27="DST",'[1]LMP IN MST'!$AA27="NORM",OR('[1]LMP IN MST'!$AB27="MAR",'[1]LMP IN MST'!$AB27="")),'[1]LMP IN PPT'!AA29,0))))))</f>
        <v>32.208599999999997</v>
      </c>
      <c r="Y27">
        <f>IF(AND('[1]LMP IN PPT'!$A29='[1]LMP IN MST'!$A27,'[1]LMP IN MST'!$Z27="ST",'[1]LMP IN MST'!$AA27="NORM",OR('[1]LMP IN MST'!$AB27="MAR",'[1]LMP IN MST'!$AB27="")),'[1]LMP IN PPT'!AA29,IF(AND('[1]LMP IN PPT'!$A29='[1]LMP IN MST'!$A27,'[1]LMP IN MST'!$Z27="DST",'[1]LMP IN MST'!$AA27="FB",'[1]LMP IN MST'!$AB27="NOV"),'[1]LMP IN PPT'!AB29,IF(AND('[1]LMP IN PPT'!$A29='[1]LMP IN MST'!$A27,'[1]LMP IN MST'!$Z27="ST",'[1]LMP IN MST'!$AA27="NORM",'[1]LMP IN MST'!$AB27="NOV"),'[1]LMP IN PPT'!AB29,IF(AND('[1]LMP IN PPT'!$A29='[1]LMP IN MST'!$A27,'[1]LMP IN MST'!$Z27="DST",'[1]LMP IN MST'!$AA27="SF",'[1]LMP IN MST'!$AB27="MAR"),'[1]LMP IN PPT'!AB29,IF(AND('[1]LMP IN PPT'!$A29='[1]LMP IN MST'!$A27,'[1]LMP IN MST'!$Z27="DST",'[1]LMP IN MST'!$AA27="NORM",'[1]LMP IN MST'!$AB27="NOV"),'[1]LMP IN PPT'!AC29,IF(AND('[1]LMP IN PPT'!$A29='[1]LMP IN MST'!$A27,'[1]LMP IN MST'!$Z27="DST",'[1]LMP IN MST'!$AA27="NORM",OR('[1]LMP IN MST'!$AB27="MAR",'[1]LMP IN MST'!$AB27="")),'[1]LMP IN PPT'!AB29,0))))))</f>
        <v>31.646229999999999</v>
      </c>
    </row>
    <row r="28" spans="1:25" x14ac:dyDescent="0.3">
      <c r="A28" s="1">
        <f t="shared" si="0"/>
        <v>45378</v>
      </c>
      <c r="B28">
        <f>IF(AND('[1]LMP IN PPT'!$A30='[1]LMP IN MST'!$A28,'[1]LMP IN MST'!$Z28="ST",'[1]LMP IN MST'!$AA28="NORM",'[1]LMP IN MST'!$AB28="NOV"),'[1]LMP IN PPT'!AC29,IF(AND('[1]LMP IN PPT'!$A30='[1]LMP IN MST'!$A28,'[1]LMP IN MST'!$Z28="ST",'[1]LMP IN MST'!$AA28="NORM",'[1]LMP IN MST'!$AB28="MAR"),'[1]LMP IN PPT'!AB29,IF(AND('[1]LMP IN PPT'!$A30='[1]LMP IN MST'!$A28,'[1]LMP IN MST'!$Z28="ST",'[1]LMP IN MST'!$AA28="NORM",'[1]LMP IN MST'!$AB28=""),'[1]LMP IN PPT'!AB29,IF(AND('[1]LMP IN PPT'!$A30='[1]LMP IN MST'!$A28,'[1]LMP IN MST'!$Z28="DST",'[1]LMP IN MST'!$AA28="FB",'[1]LMP IN MST'!$AB28="NOV"),'[1]LMP IN PPT'!E30,IF(AND('[1]LMP IN PPT'!$A30='[1]LMP IN MST'!$A28,'[1]LMP IN MST'!$Z28="DST",'[1]LMP IN MST'!$AA28="SF",'[1]LMP IN MST'!$AB28="MAR"),'[1]LMP IN PPT'!AB29,IF(AND('[1]LMP IN PPT'!$A30='[1]LMP IN MST'!$A28,'[1]LMP IN MST'!$Z28="DST",'[1]LMP IN MST'!$AA28="NORM",OR('[1]LMP IN MST'!$AB28="MAR",'[1]LMP IN MST'!$AB28="",'[1]LMP IN MST'!$AB28="NOV")),'[1]LMP IN PPT'!E30,0))))))</f>
        <v>29.565190000000001</v>
      </c>
      <c r="C28">
        <f>IF(AND('[1]LMP IN PPT'!$A30='[1]LMP IN MST'!$A28,'[1]LMP IN MST'!$Z28="ST",'[1]LMP IN MST'!$AA28="NORM",OR('[1]LMP IN MST'!$AB28="NOV",'[1]LMP IN MST'!$AB28="MAR",'[1]LMP IN MST'!$AB28="")),'[1]LMP IN PPT'!E30,IF(AND('[1]LMP IN PPT'!$A30='[1]LMP IN MST'!$A28,'[1]LMP IN MST'!$Z28="DST",'[1]LMP IN MST'!$AA28="FB",'[1]LMP IN MST'!$AB28="NOV"),'[1]LMP IN PPT'!F30,IF(AND('[1]LMP IN PPT'!$A30='[1]LMP IN MST'!$A28,'[1]LMP IN MST'!$Z28="DST",'[1]LMP IN MST'!$AA28="SF",'[1]LMP IN MST'!$AB28="MAR"),'[1]LMP IN PPT'!E30,IF(AND('[1]LMP IN PPT'!$A30='[1]LMP IN MST'!$A28,'[1]LMP IN MST'!$Z28="DST",'[1]LMP IN MST'!$AA28="NORM",OR('[1]LMP IN MST'!$AB28="MAR",'[1]LMP IN MST'!$AB28="",'[1]LMP IN MST'!$AB28="NOV")),'[1]LMP IN PPT'!F30,0))))</f>
        <v>29.36805</v>
      </c>
      <c r="D28">
        <f>IF(AND('[1]LMP IN PPT'!$A30='[1]LMP IN MST'!$A28,'[1]LMP IN MST'!$Z28="ST",'[1]LMP IN MST'!$AA28="NORM",OR('[1]LMP IN MST'!$AB28="NOV",'[1]LMP IN MST'!$AB28="MAR",'[1]LMP IN MST'!$AB28="")),'[1]LMP IN PPT'!F30,IF(AND('[1]LMP IN PPT'!$A30='[1]LMP IN MST'!$A28,'[1]LMP IN MST'!$Z28="DST",'[1]LMP IN MST'!$AA28="FB",'[1]LMP IN MST'!$AB28="NOV"),'[1]LMP IN PPT'!G30,IF(AND('[1]LMP IN PPT'!$A30='[1]LMP IN MST'!$A28,'[1]LMP IN MST'!$Z28="DST",'[1]LMP IN MST'!$AA28="SF",'[1]LMP IN MST'!$AB28="MAR"),'[1]LMP IN PPT'!F30,IF(AND('[1]LMP IN PPT'!$A30='[1]LMP IN MST'!$A28,'[1]LMP IN MST'!$Z28="DST",'[1]LMP IN MST'!$AA28="NORM",'[1]LMP IN MST'!$AB28="NOV"),'[1]LMP IN PPT'!H30,IF(AND('[1]LMP IN PPT'!$A30='[1]LMP IN MST'!$A28,'[1]LMP IN MST'!$Z28="DST",'[1]LMP IN MST'!$AA28="NORM",OR('[1]LMP IN MST'!$AB28="MAR",'[1]LMP IN MST'!$AB28="")),'[1]LMP IN PPT'!G30,0)))))</f>
        <v>29.4361</v>
      </c>
      <c r="E28">
        <f>IF(AND('[1]LMP IN PPT'!$A30='[1]LMP IN MST'!$A28,'[1]LMP IN MST'!$Z28="ST",'[1]LMP IN MST'!$AA28="NORM",OR('[1]LMP IN MST'!$AB28="MAR",'[1]LMP IN MST'!$AB28="")),'[1]LMP IN PPT'!G30,IF(AND('[1]LMP IN PPT'!$A30='[1]LMP IN MST'!$A28,'[1]LMP IN MST'!$Z28="DST",'[1]LMP IN MST'!$AA28="FB",'[1]LMP IN MST'!$AB28="NOV"),'[1]LMP IN PPT'!H30,IF(AND('[1]LMP IN PPT'!$A30='[1]LMP IN MST'!$A28,'[1]LMP IN MST'!$Z28="ST",'[1]LMP IN MST'!$AA28="NORM",'[1]LMP IN MST'!$AB28="NOV"),'[1]LMP IN PPT'!H30,IF(AND('[1]LMP IN PPT'!$A30='[1]LMP IN MST'!$A28,'[1]LMP IN MST'!$Z28="DST",'[1]LMP IN MST'!$AA28="SF",'[1]LMP IN MST'!$AB28="MAR"),'[1]LMP IN PPT'!H30,IF(AND('[1]LMP IN PPT'!$A30='[1]LMP IN MST'!$A28,'[1]LMP IN MST'!$Z28="DST",'[1]LMP IN MST'!$AA28="NORM",'[1]LMP IN MST'!$AB28="NOV"),'[1]LMP IN PPT'!I30,IF(AND('[1]LMP IN PPT'!$A30='[1]LMP IN MST'!$A28,'[1]LMP IN MST'!$Z28="DST",'[1]LMP IN MST'!$AA28="NORM",OR('[1]LMP IN MST'!$AB28="MAR",'[1]LMP IN MST'!$AB28="")),'[1]LMP IN PPT'!H30,0))))))</f>
        <v>29.707039999999999</v>
      </c>
      <c r="F28">
        <f>IF(AND('[1]LMP IN PPT'!$A30='[1]LMP IN MST'!$A28,'[1]LMP IN MST'!$Z28="ST",'[1]LMP IN MST'!$AA28="NORM",OR('[1]LMP IN MST'!$AB28="MAR",'[1]LMP IN MST'!$AB28="")),'[1]LMP IN PPT'!H30,IF(AND('[1]LMP IN PPT'!$A30='[1]LMP IN MST'!$A28,'[1]LMP IN MST'!$Z28="DST",'[1]LMP IN MST'!$AA28="FB",'[1]LMP IN MST'!$AB28="NOV"),'[1]LMP IN PPT'!I30,IF(AND('[1]LMP IN PPT'!$A30='[1]LMP IN MST'!$A28,'[1]LMP IN MST'!$Z28="ST",'[1]LMP IN MST'!$AA28="NORM",'[1]LMP IN MST'!$AB28="NOV"),'[1]LMP IN PPT'!I30,IF(AND('[1]LMP IN PPT'!$A30='[1]LMP IN MST'!$A28,'[1]LMP IN MST'!$Z28="DST",'[1]LMP IN MST'!$AA28="SF",'[1]LMP IN MST'!$AB28="MAR"),'[1]LMP IN PPT'!I30,IF(AND('[1]LMP IN PPT'!$A30='[1]LMP IN MST'!$A28,'[1]LMP IN MST'!$Z28="DST",'[1]LMP IN MST'!$AA28="NORM",'[1]LMP IN MST'!$AB28="NOV"),'[1]LMP IN PPT'!J30,IF(AND('[1]LMP IN PPT'!$A30='[1]LMP IN MST'!$A28,'[1]LMP IN MST'!$Z28="DST",'[1]LMP IN MST'!$AA28="NORM",OR('[1]LMP IN MST'!$AB28="MAR",'[1]LMP IN MST'!$AB28="")),'[1]LMP IN PPT'!I30,0))))))</f>
        <v>32.80686</v>
      </c>
      <c r="G28">
        <f>IF(AND('[1]LMP IN PPT'!$A30='[1]LMP IN MST'!$A28,'[1]LMP IN MST'!$Z28="ST",'[1]LMP IN MST'!$AA28="NORM",OR('[1]LMP IN MST'!$AB28="MAR",'[1]LMP IN MST'!$AB28="")),'[1]LMP IN PPT'!I30,IF(AND('[1]LMP IN PPT'!$A30='[1]LMP IN MST'!$A28,'[1]LMP IN MST'!$Z28="DST",'[1]LMP IN MST'!$AA28="FB",'[1]LMP IN MST'!$AB28="NOV"),'[1]LMP IN PPT'!J30,IF(AND('[1]LMP IN PPT'!$A30='[1]LMP IN MST'!$A28,'[1]LMP IN MST'!$Z28="ST",'[1]LMP IN MST'!$AA28="NORM",'[1]LMP IN MST'!$AB28="NOV"),'[1]LMP IN PPT'!J30,IF(AND('[1]LMP IN PPT'!$A30='[1]LMP IN MST'!$A28,'[1]LMP IN MST'!$Z28="DST",'[1]LMP IN MST'!$AA28="SF",'[1]LMP IN MST'!$AB28="MAR"),'[1]LMP IN PPT'!J30,IF(AND('[1]LMP IN PPT'!$A30='[1]LMP IN MST'!$A28,'[1]LMP IN MST'!$Z28="DST",'[1]LMP IN MST'!$AA28="NORM",'[1]LMP IN MST'!$AB28="NOV"),'[1]LMP IN PPT'!K30,IF(AND('[1]LMP IN PPT'!$A30='[1]LMP IN MST'!$A28,'[1]LMP IN MST'!$Z28="DST",'[1]LMP IN MST'!$AA28="NORM",OR('[1]LMP IN MST'!$AB28="MAR",'[1]LMP IN MST'!$AB28="")),'[1]LMP IN PPT'!J30,0))))))</f>
        <v>45.338970000000003</v>
      </c>
      <c r="H28">
        <f>IF(AND('[1]LMP IN PPT'!$A30='[1]LMP IN MST'!$A28,'[1]LMP IN MST'!$Z28="ST",'[1]LMP IN MST'!$AA28="NORM",OR('[1]LMP IN MST'!$AB28="MAR",'[1]LMP IN MST'!$AB28="")),'[1]LMP IN PPT'!J30,IF(AND('[1]LMP IN PPT'!$A30='[1]LMP IN MST'!$A28,'[1]LMP IN MST'!$Z28="DST",'[1]LMP IN MST'!$AA28="FB",'[1]LMP IN MST'!$AB28="NOV"),'[1]LMP IN PPT'!K30,IF(AND('[1]LMP IN PPT'!$A30='[1]LMP IN MST'!$A28,'[1]LMP IN MST'!$Z28="ST",'[1]LMP IN MST'!$AA28="NORM",'[1]LMP IN MST'!$AB28="NOV"),'[1]LMP IN PPT'!K30,IF(AND('[1]LMP IN PPT'!$A30='[1]LMP IN MST'!$A28,'[1]LMP IN MST'!$Z28="DST",'[1]LMP IN MST'!$AA28="SF",'[1]LMP IN MST'!$AB28="MAR"),'[1]LMP IN PPT'!K30,IF(AND('[1]LMP IN PPT'!$A30='[1]LMP IN MST'!$A28,'[1]LMP IN MST'!$Z28="DST",'[1]LMP IN MST'!$AA28="NORM",'[1]LMP IN MST'!$AB28="NOV"),'[1]LMP IN PPT'!L30,IF(AND('[1]LMP IN PPT'!$A30='[1]LMP IN MST'!$A28,'[1]LMP IN MST'!$Z28="DST",'[1]LMP IN MST'!$AA28="NORM",OR('[1]LMP IN MST'!$AB28="MAR",'[1]LMP IN MST'!$AB28="")),'[1]LMP IN PPT'!K30,0))))))</f>
        <v>49.53172</v>
      </c>
      <c r="I28">
        <f>IF(AND('[1]LMP IN PPT'!$A30='[1]LMP IN MST'!$A28,'[1]LMP IN MST'!$Z28="ST",'[1]LMP IN MST'!$AA28="NORM",OR('[1]LMP IN MST'!$AB28="MAR",'[1]LMP IN MST'!$AB28="")),'[1]LMP IN PPT'!K30,IF(AND('[1]LMP IN PPT'!$A30='[1]LMP IN MST'!$A28,'[1]LMP IN MST'!$Z28="DST",'[1]LMP IN MST'!$AA28="FB",'[1]LMP IN MST'!$AB28="NOV"),'[1]LMP IN PPT'!L30,IF(AND('[1]LMP IN PPT'!$A30='[1]LMP IN MST'!$A28,'[1]LMP IN MST'!$Z28="ST",'[1]LMP IN MST'!$AA28="NORM",'[1]LMP IN MST'!$AB28="NOV"),'[1]LMP IN PPT'!L30,IF(AND('[1]LMP IN PPT'!$A30='[1]LMP IN MST'!$A28,'[1]LMP IN MST'!$Z28="DST",'[1]LMP IN MST'!$AA28="SF",'[1]LMP IN MST'!$AB28="MAR"),'[1]LMP IN PPT'!L30,IF(AND('[1]LMP IN PPT'!$A30='[1]LMP IN MST'!$A28,'[1]LMP IN MST'!$Z28="DST",'[1]LMP IN MST'!$AA28="NORM",'[1]LMP IN MST'!$AB28="NOV"),'[1]LMP IN PPT'!M30,IF(AND('[1]LMP IN PPT'!$A30='[1]LMP IN MST'!$A28,'[1]LMP IN MST'!$Z28="DST",'[1]LMP IN MST'!$AA28="NORM",OR('[1]LMP IN MST'!$AB28="MAR",'[1]LMP IN MST'!$AB28="")),'[1]LMP IN PPT'!L30,0))))))</f>
        <v>46.881180000000001</v>
      </c>
      <c r="J28">
        <f>IF(AND('[1]LMP IN PPT'!$A30='[1]LMP IN MST'!$A28,'[1]LMP IN MST'!$Z28="ST",'[1]LMP IN MST'!$AA28="NORM",OR('[1]LMP IN MST'!$AB28="MAR",'[1]LMP IN MST'!$AB28="")),'[1]LMP IN PPT'!L30,IF(AND('[1]LMP IN PPT'!$A30='[1]LMP IN MST'!$A28,'[1]LMP IN MST'!$Z28="DST",'[1]LMP IN MST'!$AA28="FB",'[1]LMP IN MST'!$AB28="NOV"),'[1]LMP IN PPT'!M30,IF(AND('[1]LMP IN PPT'!$A30='[1]LMP IN MST'!$A28,'[1]LMP IN MST'!$Z28="ST",'[1]LMP IN MST'!$AA28="NORM",'[1]LMP IN MST'!$AB28="NOV"),'[1]LMP IN PPT'!M30,IF(AND('[1]LMP IN PPT'!$A30='[1]LMP IN MST'!$A28,'[1]LMP IN MST'!$Z28="DST",'[1]LMP IN MST'!$AA28="SF",'[1]LMP IN MST'!$AB28="MAR"),'[1]LMP IN PPT'!M30,IF(AND('[1]LMP IN PPT'!$A30='[1]LMP IN MST'!$A28,'[1]LMP IN MST'!$Z28="DST",'[1]LMP IN MST'!$AA28="NORM",'[1]LMP IN MST'!$AB28="NOV"),'[1]LMP IN PPT'!N30,IF(AND('[1]LMP IN PPT'!$A30='[1]LMP IN MST'!$A28,'[1]LMP IN MST'!$Z28="DST",'[1]LMP IN MST'!$AA28="NORM",OR('[1]LMP IN MST'!$AB28="MAR",'[1]LMP IN MST'!$AB28="")),'[1]LMP IN PPT'!M30,0))))))</f>
        <v>22.526399999999999</v>
      </c>
      <c r="K28">
        <f>IF(AND('[1]LMP IN PPT'!$A30='[1]LMP IN MST'!$A28,'[1]LMP IN MST'!$Z28="ST",'[1]LMP IN MST'!$AA28="NORM",OR('[1]LMP IN MST'!$AB28="MAR",'[1]LMP IN MST'!$AB28="")),'[1]LMP IN PPT'!M30,IF(AND('[1]LMP IN PPT'!$A30='[1]LMP IN MST'!$A28,'[1]LMP IN MST'!$Z28="DST",'[1]LMP IN MST'!$AA28="FB",'[1]LMP IN MST'!$AB28="NOV"),'[1]LMP IN PPT'!N30,IF(AND('[1]LMP IN PPT'!$A30='[1]LMP IN MST'!$A28,'[1]LMP IN MST'!$Z28="ST",'[1]LMP IN MST'!$AA28="NORM",'[1]LMP IN MST'!$AB28="NOV"),'[1]LMP IN PPT'!N30,IF(AND('[1]LMP IN PPT'!$A30='[1]LMP IN MST'!$A28,'[1]LMP IN MST'!$Z28="DST",'[1]LMP IN MST'!$AA28="SF",'[1]LMP IN MST'!$AB28="MAR"),'[1]LMP IN PPT'!N30,IF(AND('[1]LMP IN PPT'!$A30='[1]LMP IN MST'!$A28,'[1]LMP IN MST'!$Z28="DST",'[1]LMP IN MST'!$AA28="NORM",'[1]LMP IN MST'!$AB28="NOV"),'[1]LMP IN PPT'!O30,IF(AND('[1]LMP IN PPT'!$A30='[1]LMP IN MST'!$A28,'[1]LMP IN MST'!$Z28="DST",'[1]LMP IN MST'!$AA28="NORM",OR('[1]LMP IN MST'!$AB28="MAR",'[1]LMP IN MST'!$AB28="")),'[1]LMP IN PPT'!N30,0))))))</f>
        <v>-8.1641100000000009</v>
      </c>
      <c r="L28">
        <f>IF(AND('[1]LMP IN PPT'!$A30='[1]LMP IN MST'!$A28,'[1]LMP IN MST'!$Z28="ST",'[1]LMP IN MST'!$AA28="NORM",OR('[1]LMP IN MST'!$AB28="MAR",'[1]LMP IN MST'!$AB28="")),'[1]LMP IN PPT'!N30,IF(AND('[1]LMP IN PPT'!$A30='[1]LMP IN MST'!$A28,'[1]LMP IN MST'!$Z28="DST",'[1]LMP IN MST'!$AA28="FB",'[1]LMP IN MST'!$AB28="NOV"),'[1]LMP IN PPT'!O30,IF(AND('[1]LMP IN PPT'!$A30='[1]LMP IN MST'!$A28,'[1]LMP IN MST'!$Z28="ST",'[1]LMP IN MST'!$AA28="NORM",'[1]LMP IN MST'!$AB28="NOV"),'[1]LMP IN PPT'!O30,IF(AND('[1]LMP IN PPT'!$A30='[1]LMP IN MST'!$A28,'[1]LMP IN MST'!$Z28="DST",'[1]LMP IN MST'!$AA28="SF",'[1]LMP IN MST'!$AB28="MAR"),'[1]LMP IN PPT'!O30,IF(AND('[1]LMP IN PPT'!$A30='[1]LMP IN MST'!$A28,'[1]LMP IN MST'!$Z28="DST",'[1]LMP IN MST'!$AA28="NORM",'[1]LMP IN MST'!$AB28="NOV"),'[1]LMP IN PPT'!P30,IF(AND('[1]LMP IN PPT'!$A30='[1]LMP IN MST'!$A28,'[1]LMP IN MST'!$Z28="DST",'[1]LMP IN MST'!$AA28="NORM",OR('[1]LMP IN MST'!$AB28="MAR",'[1]LMP IN MST'!$AB28="")),'[1]LMP IN PPT'!O30,0))))))</f>
        <v>-14.1387</v>
      </c>
      <c r="M28">
        <f>IF(AND('[1]LMP IN PPT'!$A30='[1]LMP IN MST'!$A28,'[1]LMP IN MST'!$Z28="ST",'[1]LMP IN MST'!$AA28="NORM",OR('[1]LMP IN MST'!$AB28="MAR",'[1]LMP IN MST'!$AB28="")),'[1]LMP IN PPT'!O30,IF(AND('[1]LMP IN PPT'!$A30='[1]LMP IN MST'!$A28,'[1]LMP IN MST'!$Z28="DST",'[1]LMP IN MST'!$AA28="FB",'[1]LMP IN MST'!$AB28="NOV"),'[1]LMP IN PPT'!P30,IF(AND('[1]LMP IN PPT'!$A30='[1]LMP IN MST'!$A28,'[1]LMP IN MST'!$Z28="ST",'[1]LMP IN MST'!$AA28="NORM",'[1]LMP IN MST'!$AB28="NOV"),'[1]LMP IN PPT'!P30,IF(AND('[1]LMP IN PPT'!$A30='[1]LMP IN MST'!$A28,'[1]LMP IN MST'!$Z28="DST",'[1]LMP IN MST'!$AA28="SF",'[1]LMP IN MST'!$AB28="MAR"),'[1]LMP IN PPT'!P30,IF(AND('[1]LMP IN PPT'!$A30='[1]LMP IN MST'!$A28,'[1]LMP IN MST'!$Z28="DST",'[1]LMP IN MST'!$AA28="NORM",'[1]LMP IN MST'!$AB28="NOV"),'[1]LMP IN PPT'!Q30,IF(AND('[1]LMP IN PPT'!$A30='[1]LMP IN MST'!$A28,'[1]LMP IN MST'!$Z28="DST",'[1]LMP IN MST'!$AA28="NORM",OR('[1]LMP IN MST'!$AB28="MAR",'[1]LMP IN MST'!$AB28="")),'[1]LMP IN PPT'!P30,0))))))</f>
        <v>-18.36853</v>
      </c>
      <c r="N28">
        <f>IF(AND('[1]LMP IN PPT'!$A30='[1]LMP IN MST'!$A28,'[1]LMP IN MST'!$Z28="ST",'[1]LMP IN MST'!$AA28="NORM",OR('[1]LMP IN MST'!$AB28="MAR",'[1]LMP IN MST'!$AB28="")),'[1]LMP IN PPT'!P30,IF(AND('[1]LMP IN PPT'!$A30='[1]LMP IN MST'!$A28,'[1]LMP IN MST'!$Z28="DST",'[1]LMP IN MST'!$AA28="FB",'[1]LMP IN MST'!$AB28="NOV"),'[1]LMP IN PPT'!Q30,IF(AND('[1]LMP IN PPT'!$A30='[1]LMP IN MST'!$A28,'[1]LMP IN MST'!$Z28="ST",'[1]LMP IN MST'!$AA28="NORM",'[1]LMP IN MST'!$AB28="NOV"),'[1]LMP IN PPT'!Q30,IF(AND('[1]LMP IN PPT'!$A30='[1]LMP IN MST'!$A28,'[1]LMP IN MST'!$Z28="DST",'[1]LMP IN MST'!$AA28="SF",'[1]LMP IN MST'!$AB28="MAR"),'[1]LMP IN PPT'!Q30,IF(AND('[1]LMP IN PPT'!$A30='[1]LMP IN MST'!$A28,'[1]LMP IN MST'!$Z28="DST",'[1]LMP IN MST'!$AA28="NORM",'[1]LMP IN MST'!$AB28="NOV"),'[1]LMP IN PPT'!R30,IF(AND('[1]LMP IN PPT'!$A30='[1]LMP IN MST'!$A28,'[1]LMP IN MST'!$Z28="DST",'[1]LMP IN MST'!$AA28="NORM",OR('[1]LMP IN MST'!$AB28="MAR",'[1]LMP IN MST'!$AB28="")),'[1]LMP IN PPT'!Q30,0))))))</f>
        <v>-19.791180000000001</v>
      </c>
      <c r="O28">
        <f>IF(AND('[1]LMP IN PPT'!$A30='[1]LMP IN MST'!$A28,'[1]LMP IN MST'!$Z28="ST",'[1]LMP IN MST'!$AA28="NORM",OR('[1]LMP IN MST'!$AB28="MAR",'[1]LMP IN MST'!$AB28="")),'[1]LMP IN PPT'!Q30,IF(AND('[1]LMP IN PPT'!$A30='[1]LMP IN MST'!$A28,'[1]LMP IN MST'!$Z28="DST",'[1]LMP IN MST'!$AA28="FB",'[1]LMP IN MST'!$AB28="NOV"),'[1]LMP IN PPT'!R30,IF(AND('[1]LMP IN PPT'!$A30='[1]LMP IN MST'!$A28,'[1]LMP IN MST'!$Z28="ST",'[1]LMP IN MST'!$AA28="NORM",'[1]LMP IN MST'!$AB28="NOV"),'[1]LMP IN PPT'!R30,IF(AND('[1]LMP IN PPT'!$A30='[1]LMP IN MST'!$A28,'[1]LMP IN MST'!$Z28="DST",'[1]LMP IN MST'!$AA28="SF",'[1]LMP IN MST'!$AB28="MAR"),'[1]LMP IN PPT'!R30,IF(AND('[1]LMP IN PPT'!$A30='[1]LMP IN MST'!$A28,'[1]LMP IN MST'!$Z28="DST",'[1]LMP IN MST'!$AA28="NORM",'[1]LMP IN MST'!$AB28="NOV"),'[1]LMP IN PPT'!S30,IF(AND('[1]LMP IN PPT'!$A30='[1]LMP IN MST'!$A28,'[1]LMP IN MST'!$Z28="DST",'[1]LMP IN MST'!$AA28="NORM",OR('[1]LMP IN MST'!$AB28="MAR",'[1]LMP IN MST'!$AB28="")),'[1]LMP IN PPT'!R30,0))))))</f>
        <v>-20.48649</v>
      </c>
      <c r="P28">
        <f>IF(AND('[1]LMP IN PPT'!$A30='[1]LMP IN MST'!$A28,'[1]LMP IN MST'!$Z28="ST",'[1]LMP IN MST'!$AA28="NORM",OR('[1]LMP IN MST'!$AB28="MAR",'[1]LMP IN MST'!$AB28="")),'[1]LMP IN PPT'!R30,IF(AND('[1]LMP IN PPT'!$A30='[1]LMP IN MST'!$A28,'[1]LMP IN MST'!$Z28="DST",'[1]LMP IN MST'!$AA28="FB",'[1]LMP IN MST'!$AB28="NOV"),'[1]LMP IN PPT'!S30,IF(AND('[1]LMP IN PPT'!$A30='[1]LMP IN MST'!$A28,'[1]LMP IN MST'!$Z28="ST",'[1]LMP IN MST'!$AA28="NORM",'[1]LMP IN MST'!$AB28="NOV"),'[1]LMP IN PPT'!S30,IF(AND('[1]LMP IN PPT'!$A30='[1]LMP IN MST'!$A28,'[1]LMP IN MST'!$Z28="DST",'[1]LMP IN MST'!$AA28="SF",'[1]LMP IN MST'!$AB28="MAR"),'[1]LMP IN PPT'!S30,IF(AND('[1]LMP IN PPT'!$A30='[1]LMP IN MST'!$A28,'[1]LMP IN MST'!$Z28="DST",'[1]LMP IN MST'!$AA28="NORM",'[1]LMP IN MST'!$AB28="NOV"),'[1]LMP IN PPT'!T30,IF(AND('[1]LMP IN PPT'!$A30='[1]LMP IN MST'!$A28,'[1]LMP IN MST'!$Z28="DST",'[1]LMP IN MST'!$AA28="NORM",OR('[1]LMP IN MST'!$AB28="MAR",'[1]LMP IN MST'!$AB28="")),'[1]LMP IN PPT'!S30,0))))))</f>
        <v>-19.7561</v>
      </c>
      <c r="Q28">
        <f>IF(AND('[1]LMP IN PPT'!$A30='[1]LMP IN MST'!$A28,'[1]LMP IN MST'!$Z28="ST",'[1]LMP IN MST'!$AA28="NORM",OR('[1]LMP IN MST'!$AB28="MAR",'[1]LMP IN MST'!$AB28="")),'[1]LMP IN PPT'!S30,IF(AND('[1]LMP IN PPT'!$A30='[1]LMP IN MST'!$A28,'[1]LMP IN MST'!$Z28="DST",'[1]LMP IN MST'!$AA28="FB",'[1]LMP IN MST'!$AB28="NOV"),'[1]LMP IN PPT'!T30,IF(AND('[1]LMP IN PPT'!$A30='[1]LMP IN MST'!$A28,'[1]LMP IN MST'!$Z28="ST",'[1]LMP IN MST'!$AA28="NORM",'[1]LMP IN MST'!$AB28="NOV"),'[1]LMP IN PPT'!T30,IF(AND('[1]LMP IN PPT'!$A30='[1]LMP IN MST'!$A28,'[1]LMP IN MST'!$Z28="DST",'[1]LMP IN MST'!$AA28="SF",'[1]LMP IN MST'!$AB28="MAR"),'[1]LMP IN PPT'!T30,IF(AND('[1]LMP IN PPT'!$A30='[1]LMP IN MST'!$A28,'[1]LMP IN MST'!$Z28="DST",'[1]LMP IN MST'!$AA28="NORM",'[1]LMP IN MST'!$AB28="NOV"),'[1]LMP IN PPT'!U30,IF(AND('[1]LMP IN PPT'!$A30='[1]LMP IN MST'!$A28,'[1]LMP IN MST'!$Z28="DST",'[1]LMP IN MST'!$AA28="NORM",OR('[1]LMP IN MST'!$AB28="MAR",'[1]LMP IN MST'!$AB28="")),'[1]LMP IN PPT'!T30,0))))))</f>
        <v>-18.823519999999998</v>
      </c>
      <c r="R28">
        <f>IF(AND('[1]LMP IN PPT'!$A30='[1]LMP IN MST'!$A28,'[1]LMP IN MST'!$Z28="ST",'[1]LMP IN MST'!$AA28="NORM",OR('[1]LMP IN MST'!$AB28="MAR",'[1]LMP IN MST'!$AB28="")),'[1]LMP IN PPT'!T30,IF(AND('[1]LMP IN PPT'!$A30='[1]LMP IN MST'!$A28,'[1]LMP IN MST'!$Z28="DST",'[1]LMP IN MST'!$AA28="FB",'[1]LMP IN MST'!$AB28="NOV"),'[1]LMP IN PPT'!U30,IF(AND('[1]LMP IN PPT'!$A30='[1]LMP IN MST'!$A28,'[1]LMP IN MST'!$Z28="ST",'[1]LMP IN MST'!$AA28="NORM",'[1]LMP IN MST'!$AB28="NOV"),'[1]LMP IN PPT'!U30,IF(AND('[1]LMP IN PPT'!$A30='[1]LMP IN MST'!$A28,'[1]LMP IN MST'!$Z28="DST",'[1]LMP IN MST'!$AA28="SF",'[1]LMP IN MST'!$AB28="MAR"),'[1]LMP IN PPT'!U30,IF(AND('[1]LMP IN PPT'!$A30='[1]LMP IN MST'!$A28,'[1]LMP IN MST'!$Z28="DST",'[1]LMP IN MST'!$AA28="NORM",'[1]LMP IN MST'!$AB28="NOV"),'[1]LMP IN PPT'!V30,IF(AND('[1]LMP IN PPT'!$A30='[1]LMP IN MST'!$A28,'[1]LMP IN MST'!$Z28="DST",'[1]LMP IN MST'!$AA28="NORM",OR('[1]LMP IN MST'!$AB28="MAR",'[1]LMP IN MST'!$AB28="")),'[1]LMP IN PPT'!U30,0))))))</f>
        <v>-12.311859999999999</v>
      </c>
      <c r="S28">
        <f>IF(AND('[1]LMP IN PPT'!$A30='[1]LMP IN MST'!$A28,'[1]LMP IN MST'!$Z28="ST",'[1]LMP IN MST'!$AA28="NORM",OR('[1]LMP IN MST'!$AB28="MAR",'[1]LMP IN MST'!$AB28="")),'[1]LMP IN PPT'!U30,IF(AND('[1]LMP IN PPT'!$A30='[1]LMP IN MST'!$A28,'[1]LMP IN MST'!$Z28="DST",'[1]LMP IN MST'!$AA28="FB",'[1]LMP IN MST'!$AB28="NOV"),'[1]LMP IN PPT'!V30,IF(AND('[1]LMP IN PPT'!$A30='[1]LMP IN MST'!$A28,'[1]LMP IN MST'!$Z28="ST",'[1]LMP IN MST'!$AA28="NORM",'[1]LMP IN MST'!$AB28="NOV"),'[1]LMP IN PPT'!V30,IF(AND('[1]LMP IN PPT'!$A30='[1]LMP IN MST'!$A28,'[1]LMP IN MST'!$Z28="DST",'[1]LMP IN MST'!$AA28="SF",'[1]LMP IN MST'!$AB28="MAR"),'[1]LMP IN PPT'!V30,IF(AND('[1]LMP IN PPT'!$A30='[1]LMP IN MST'!$A28,'[1]LMP IN MST'!$Z28="DST",'[1]LMP IN MST'!$AA28="NORM",'[1]LMP IN MST'!$AB28="NOV"),'[1]LMP IN PPT'!W30,IF(AND('[1]LMP IN PPT'!$A30='[1]LMP IN MST'!$A28,'[1]LMP IN MST'!$Z28="DST",'[1]LMP IN MST'!$AA28="NORM",OR('[1]LMP IN MST'!$AB28="MAR",'[1]LMP IN MST'!$AB28="")),'[1]LMP IN PPT'!V30,0))))))</f>
        <v>14.70575</v>
      </c>
      <c r="T28">
        <f>IF(AND('[1]LMP IN PPT'!$A30='[1]LMP IN MST'!$A28,'[1]LMP IN MST'!$Z28="ST",'[1]LMP IN MST'!$AA28="NORM",OR('[1]LMP IN MST'!$AB28="MAR",'[1]LMP IN MST'!$AB28="")),'[1]LMP IN PPT'!V30,IF(AND('[1]LMP IN PPT'!$A30='[1]LMP IN MST'!$A28,'[1]LMP IN MST'!$Z28="DST",'[1]LMP IN MST'!$AA28="FB",'[1]LMP IN MST'!$AB28="NOV"),'[1]LMP IN PPT'!W30,IF(AND('[1]LMP IN PPT'!$A30='[1]LMP IN MST'!$A28,'[1]LMP IN MST'!$Z28="ST",'[1]LMP IN MST'!$AA28="NORM",'[1]LMP IN MST'!$AB28="NOV"),'[1]LMP IN PPT'!W30,IF(AND('[1]LMP IN PPT'!$A30='[1]LMP IN MST'!$A28,'[1]LMP IN MST'!$Z28="DST",'[1]LMP IN MST'!$AA28="SF",'[1]LMP IN MST'!$AB28="MAR"),'[1]LMP IN PPT'!W30,IF(AND('[1]LMP IN PPT'!$A30='[1]LMP IN MST'!$A28,'[1]LMP IN MST'!$Z28="DST",'[1]LMP IN MST'!$AA28="NORM",'[1]LMP IN MST'!$AB28="NOV"),'[1]LMP IN PPT'!X30,IF(AND('[1]LMP IN PPT'!$A30='[1]LMP IN MST'!$A28,'[1]LMP IN MST'!$Z28="DST",'[1]LMP IN MST'!$AA28="NORM",OR('[1]LMP IN MST'!$AB28="MAR",'[1]LMP IN MST'!$AB28="")),'[1]LMP IN PPT'!W30,0))))))</f>
        <v>44.865299999999998</v>
      </c>
      <c r="U28">
        <f>IF(AND('[1]LMP IN PPT'!$A30='[1]LMP IN MST'!$A28,'[1]LMP IN MST'!$Z28="ST",'[1]LMP IN MST'!$AA28="NORM",OR('[1]LMP IN MST'!$AB28="MAR",'[1]LMP IN MST'!$AB28="")),'[1]LMP IN PPT'!W30,IF(AND('[1]LMP IN PPT'!$A30='[1]LMP IN MST'!$A28,'[1]LMP IN MST'!$Z28="DST",'[1]LMP IN MST'!$AA28="FB",'[1]LMP IN MST'!$AB28="NOV"),'[1]LMP IN PPT'!X30,IF(AND('[1]LMP IN PPT'!$A30='[1]LMP IN MST'!$A28,'[1]LMP IN MST'!$Z28="ST",'[1]LMP IN MST'!$AA28="NORM",'[1]LMP IN MST'!$AB28="NOV"),'[1]LMP IN PPT'!X30,IF(AND('[1]LMP IN PPT'!$A30='[1]LMP IN MST'!$A28,'[1]LMP IN MST'!$Z28="DST",'[1]LMP IN MST'!$AA28="SF",'[1]LMP IN MST'!$AB28="MAR"),'[1]LMP IN PPT'!X30,IF(AND('[1]LMP IN PPT'!$A30='[1]LMP IN MST'!$A28,'[1]LMP IN MST'!$Z28="DST",'[1]LMP IN MST'!$AA28="NORM",'[1]LMP IN MST'!$AB28="NOV"),'[1]LMP IN PPT'!Y30,IF(AND('[1]LMP IN PPT'!$A30='[1]LMP IN MST'!$A28,'[1]LMP IN MST'!$Z28="DST",'[1]LMP IN MST'!$AA28="NORM",OR('[1]LMP IN MST'!$AB28="MAR",'[1]LMP IN MST'!$AB28="")),'[1]LMP IN PPT'!X30,0))))))</f>
        <v>46.096510000000002</v>
      </c>
      <c r="V28">
        <f>IF(AND('[1]LMP IN PPT'!$A30='[1]LMP IN MST'!$A28,'[1]LMP IN MST'!$Z28="ST",'[1]LMP IN MST'!$AA28="NORM",OR('[1]LMP IN MST'!$AB28="MAR",'[1]LMP IN MST'!$AB28="")),'[1]LMP IN PPT'!X30,IF(AND('[1]LMP IN PPT'!$A30='[1]LMP IN MST'!$A28,'[1]LMP IN MST'!$Z28="DST",'[1]LMP IN MST'!$AA28="FB",'[1]LMP IN MST'!$AB28="NOV"),'[1]LMP IN PPT'!Y30,IF(AND('[1]LMP IN PPT'!$A30='[1]LMP IN MST'!$A28,'[1]LMP IN MST'!$Z28="ST",'[1]LMP IN MST'!$AA28="NORM",'[1]LMP IN MST'!$AB28="NOV"),'[1]LMP IN PPT'!Y30,IF(AND('[1]LMP IN PPT'!$A30='[1]LMP IN MST'!$A28,'[1]LMP IN MST'!$Z28="DST",'[1]LMP IN MST'!$AA28="SF",'[1]LMP IN MST'!$AB28="MAR"),'[1]LMP IN PPT'!Y30,IF(AND('[1]LMP IN PPT'!$A30='[1]LMP IN MST'!$A28,'[1]LMP IN MST'!$Z28="DST",'[1]LMP IN MST'!$AA28="NORM",'[1]LMP IN MST'!$AB28="NOV"),'[1]LMP IN PPT'!Z30,IF(AND('[1]LMP IN PPT'!$A30='[1]LMP IN MST'!$A28,'[1]LMP IN MST'!$Z28="DST",'[1]LMP IN MST'!$AA28="NORM",OR('[1]LMP IN MST'!$AB28="MAR",'[1]LMP IN MST'!$AB28="")),'[1]LMP IN PPT'!Y30,0))))))</f>
        <v>44.76502</v>
      </c>
      <c r="W28">
        <f>IF(AND('[1]LMP IN PPT'!$A30='[1]LMP IN MST'!$A28,'[1]LMP IN MST'!$Z28="ST",'[1]LMP IN MST'!$AA28="NORM",OR('[1]LMP IN MST'!$AB28="MAR",'[1]LMP IN MST'!$AB28="")),'[1]LMP IN PPT'!Y30,IF(AND('[1]LMP IN PPT'!$A30='[1]LMP IN MST'!$A28,'[1]LMP IN MST'!$Z28="DST",'[1]LMP IN MST'!$AA28="FB",'[1]LMP IN MST'!$AB28="NOV"),'[1]LMP IN PPT'!Z30,IF(AND('[1]LMP IN PPT'!$A30='[1]LMP IN MST'!$A28,'[1]LMP IN MST'!$Z28="ST",'[1]LMP IN MST'!$AA28="NORM",'[1]LMP IN MST'!$AB28="NOV"),'[1]LMP IN PPT'!Z30,IF(AND('[1]LMP IN PPT'!$A30='[1]LMP IN MST'!$A28,'[1]LMP IN MST'!$Z28="DST",'[1]LMP IN MST'!$AA28="SF",'[1]LMP IN MST'!$AB28="MAR"),'[1]LMP IN PPT'!Z30,IF(AND('[1]LMP IN PPT'!$A30='[1]LMP IN MST'!$A28,'[1]LMP IN MST'!$Z28="DST",'[1]LMP IN MST'!$AA28="NORM",'[1]LMP IN MST'!$AB28="NOV"),'[1]LMP IN PPT'!AA30,IF(AND('[1]LMP IN PPT'!$A30='[1]LMP IN MST'!$A28,'[1]LMP IN MST'!$Z28="DST",'[1]LMP IN MST'!$AA28="NORM",OR('[1]LMP IN MST'!$AB28="MAR",'[1]LMP IN MST'!$AB28="")),'[1]LMP IN PPT'!Z30,0))))))</f>
        <v>44.286760000000001</v>
      </c>
      <c r="X28">
        <f>IF(AND('[1]LMP IN PPT'!$A30='[1]LMP IN MST'!$A28,'[1]LMP IN MST'!$Z28="ST",'[1]LMP IN MST'!$AA28="NORM",OR('[1]LMP IN MST'!$AB28="MAR",'[1]LMP IN MST'!$AB28="")),'[1]LMP IN PPT'!Z30,IF(AND('[1]LMP IN PPT'!$A30='[1]LMP IN MST'!$A28,'[1]LMP IN MST'!$Z28="DST",'[1]LMP IN MST'!$AA28="FB",'[1]LMP IN MST'!$AB28="NOV"),'[1]LMP IN PPT'!AA30,IF(AND('[1]LMP IN PPT'!$A30='[1]LMP IN MST'!$A28,'[1]LMP IN MST'!$Z28="ST",'[1]LMP IN MST'!$AA28="NORM",'[1]LMP IN MST'!$AB28="NOV"),'[1]LMP IN PPT'!AA30,IF(AND('[1]LMP IN PPT'!$A30='[1]LMP IN MST'!$A28,'[1]LMP IN MST'!$Z28="DST",'[1]LMP IN MST'!$AA28="SF",'[1]LMP IN MST'!$AB28="MAR"),'[1]LMP IN PPT'!AA30,IF(AND('[1]LMP IN PPT'!$A30='[1]LMP IN MST'!$A28,'[1]LMP IN MST'!$Z28="DST",'[1]LMP IN MST'!$AA28="NORM",'[1]LMP IN MST'!$AB28="NOV"),'[1]LMP IN PPT'!AB30,IF(AND('[1]LMP IN PPT'!$A30='[1]LMP IN MST'!$A28,'[1]LMP IN MST'!$Z28="DST",'[1]LMP IN MST'!$AA28="NORM",OR('[1]LMP IN MST'!$AB28="MAR",'[1]LMP IN MST'!$AB28="")),'[1]LMP IN PPT'!AA30,0))))))</f>
        <v>43.47</v>
      </c>
      <c r="Y28">
        <f>IF(AND('[1]LMP IN PPT'!$A30='[1]LMP IN MST'!$A28,'[1]LMP IN MST'!$Z28="ST",'[1]LMP IN MST'!$AA28="NORM",OR('[1]LMP IN MST'!$AB28="MAR",'[1]LMP IN MST'!$AB28="")),'[1]LMP IN PPT'!AA30,IF(AND('[1]LMP IN PPT'!$A30='[1]LMP IN MST'!$A28,'[1]LMP IN MST'!$Z28="DST",'[1]LMP IN MST'!$AA28="FB",'[1]LMP IN MST'!$AB28="NOV"),'[1]LMP IN PPT'!AB30,IF(AND('[1]LMP IN PPT'!$A30='[1]LMP IN MST'!$A28,'[1]LMP IN MST'!$Z28="ST",'[1]LMP IN MST'!$AA28="NORM",'[1]LMP IN MST'!$AB28="NOV"),'[1]LMP IN PPT'!AB30,IF(AND('[1]LMP IN PPT'!$A30='[1]LMP IN MST'!$A28,'[1]LMP IN MST'!$Z28="DST",'[1]LMP IN MST'!$AA28="SF",'[1]LMP IN MST'!$AB28="MAR"),'[1]LMP IN PPT'!AB30,IF(AND('[1]LMP IN PPT'!$A30='[1]LMP IN MST'!$A28,'[1]LMP IN MST'!$Z28="DST",'[1]LMP IN MST'!$AA28="NORM",'[1]LMP IN MST'!$AB28="NOV"),'[1]LMP IN PPT'!AC30,IF(AND('[1]LMP IN PPT'!$A30='[1]LMP IN MST'!$A28,'[1]LMP IN MST'!$Z28="DST",'[1]LMP IN MST'!$AA28="NORM",OR('[1]LMP IN MST'!$AB28="MAR",'[1]LMP IN MST'!$AB28="")),'[1]LMP IN PPT'!AB30,0))))))</f>
        <v>39.415979999999998</v>
      </c>
    </row>
    <row r="29" spans="1:25" x14ac:dyDescent="0.3">
      <c r="A29" s="1">
        <f t="shared" si="0"/>
        <v>45379</v>
      </c>
      <c r="B29">
        <f>IF(AND('[1]LMP IN PPT'!$A31='[1]LMP IN MST'!$A29,'[1]LMP IN MST'!$Z29="ST",'[1]LMP IN MST'!$AA29="NORM",'[1]LMP IN MST'!$AB29="NOV"),'[1]LMP IN PPT'!AC30,IF(AND('[1]LMP IN PPT'!$A31='[1]LMP IN MST'!$A29,'[1]LMP IN MST'!$Z29="ST",'[1]LMP IN MST'!$AA29="NORM",'[1]LMP IN MST'!$AB29="MAR"),'[1]LMP IN PPT'!AB30,IF(AND('[1]LMP IN PPT'!$A31='[1]LMP IN MST'!$A29,'[1]LMP IN MST'!$Z29="ST",'[1]LMP IN MST'!$AA29="NORM",'[1]LMP IN MST'!$AB29=""),'[1]LMP IN PPT'!AB30,IF(AND('[1]LMP IN PPT'!$A31='[1]LMP IN MST'!$A29,'[1]LMP IN MST'!$Z29="DST",'[1]LMP IN MST'!$AA29="FB",'[1]LMP IN MST'!$AB29="NOV"),'[1]LMP IN PPT'!E31,IF(AND('[1]LMP IN PPT'!$A31='[1]LMP IN MST'!$A29,'[1]LMP IN MST'!$Z29="DST",'[1]LMP IN MST'!$AA29="SF",'[1]LMP IN MST'!$AB29="MAR"),'[1]LMP IN PPT'!AB30,IF(AND('[1]LMP IN PPT'!$A31='[1]LMP IN MST'!$A29,'[1]LMP IN MST'!$Z29="DST",'[1]LMP IN MST'!$AA29="NORM",OR('[1]LMP IN MST'!$AB29="MAR",'[1]LMP IN MST'!$AB29="",'[1]LMP IN MST'!$AB29="NOV")),'[1]LMP IN PPT'!E31,0))))))</f>
        <v>29.679269999999999</v>
      </c>
      <c r="C29">
        <f>IF(AND('[1]LMP IN PPT'!$A31='[1]LMP IN MST'!$A29,'[1]LMP IN MST'!$Z29="ST",'[1]LMP IN MST'!$AA29="NORM",OR('[1]LMP IN MST'!$AB29="NOV",'[1]LMP IN MST'!$AB29="MAR",'[1]LMP IN MST'!$AB29="")),'[1]LMP IN PPT'!E31,IF(AND('[1]LMP IN PPT'!$A31='[1]LMP IN MST'!$A29,'[1]LMP IN MST'!$Z29="DST",'[1]LMP IN MST'!$AA29="FB",'[1]LMP IN MST'!$AB29="NOV"),'[1]LMP IN PPT'!F31,IF(AND('[1]LMP IN PPT'!$A31='[1]LMP IN MST'!$A29,'[1]LMP IN MST'!$Z29="DST",'[1]LMP IN MST'!$AA29="SF",'[1]LMP IN MST'!$AB29="MAR"),'[1]LMP IN PPT'!E31,IF(AND('[1]LMP IN PPT'!$A31='[1]LMP IN MST'!$A29,'[1]LMP IN MST'!$Z29="DST",'[1]LMP IN MST'!$AA29="NORM",OR('[1]LMP IN MST'!$AB29="MAR",'[1]LMP IN MST'!$AB29="",'[1]LMP IN MST'!$AB29="NOV")),'[1]LMP IN PPT'!F31,0))))</f>
        <v>25.499469999999999</v>
      </c>
      <c r="D29">
        <f>IF(AND('[1]LMP IN PPT'!$A31='[1]LMP IN MST'!$A29,'[1]LMP IN MST'!$Z29="ST",'[1]LMP IN MST'!$AA29="NORM",OR('[1]LMP IN MST'!$AB29="NOV",'[1]LMP IN MST'!$AB29="MAR",'[1]LMP IN MST'!$AB29="")),'[1]LMP IN PPT'!F31,IF(AND('[1]LMP IN PPT'!$A31='[1]LMP IN MST'!$A29,'[1]LMP IN MST'!$Z29="DST",'[1]LMP IN MST'!$AA29="FB",'[1]LMP IN MST'!$AB29="NOV"),'[1]LMP IN PPT'!G31,IF(AND('[1]LMP IN PPT'!$A31='[1]LMP IN MST'!$A29,'[1]LMP IN MST'!$Z29="DST",'[1]LMP IN MST'!$AA29="SF",'[1]LMP IN MST'!$AB29="MAR"),'[1]LMP IN PPT'!F31,IF(AND('[1]LMP IN PPT'!$A31='[1]LMP IN MST'!$A29,'[1]LMP IN MST'!$Z29="DST",'[1]LMP IN MST'!$AA29="NORM",'[1]LMP IN MST'!$AB29="NOV"),'[1]LMP IN PPT'!H31,IF(AND('[1]LMP IN PPT'!$A31='[1]LMP IN MST'!$A29,'[1]LMP IN MST'!$Z29="DST",'[1]LMP IN MST'!$AA29="NORM",OR('[1]LMP IN MST'!$AB29="MAR",'[1]LMP IN MST'!$AB29="")),'[1]LMP IN PPT'!G31,0)))))</f>
        <v>24.484780000000001</v>
      </c>
      <c r="E29">
        <f>IF(AND('[1]LMP IN PPT'!$A31='[1]LMP IN MST'!$A29,'[1]LMP IN MST'!$Z29="ST",'[1]LMP IN MST'!$AA29="NORM",OR('[1]LMP IN MST'!$AB29="MAR",'[1]LMP IN MST'!$AB29="")),'[1]LMP IN PPT'!G31,IF(AND('[1]LMP IN PPT'!$A31='[1]LMP IN MST'!$A29,'[1]LMP IN MST'!$Z29="DST",'[1]LMP IN MST'!$AA29="FB",'[1]LMP IN MST'!$AB29="NOV"),'[1]LMP IN PPT'!H31,IF(AND('[1]LMP IN PPT'!$A31='[1]LMP IN MST'!$A29,'[1]LMP IN MST'!$Z29="ST",'[1]LMP IN MST'!$AA29="NORM",'[1]LMP IN MST'!$AB29="NOV"),'[1]LMP IN PPT'!H31,IF(AND('[1]LMP IN PPT'!$A31='[1]LMP IN MST'!$A29,'[1]LMP IN MST'!$Z29="DST",'[1]LMP IN MST'!$AA29="SF",'[1]LMP IN MST'!$AB29="MAR"),'[1]LMP IN PPT'!H31,IF(AND('[1]LMP IN PPT'!$A31='[1]LMP IN MST'!$A29,'[1]LMP IN MST'!$Z29="DST",'[1]LMP IN MST'!$AA29="NORM",'[1]LMP IN MST'!$AB29="NOV"),'[1]LMP IN PPT'!I31,IF(AND('[1]LMP IN PPT'!$A31='[1]LMP IN MST'!$A29,'[1]LMP IN MST'!$Z29="DST",'[1]LMP IN MST'!$AA29="NORM",OR('[1]LMP IN MST'!$AB29="MAR",'[1]LMP IN MST'!$AB29="")),'[1]LMP IN PPT'!H31,0))))))</f>
        <v>25.525130000000001</v>
      </c>
      <c r="F29">
        <f>IF(AND('[1]LMP IN PPT'!$A31='[1]LMP IN MST'!$A29,'[1]LMP IN MST'!$Z29="ST",'[1]LMP IN MST'!$AA29="NORM",OR('[1]LMP IN MST'!$AB29="MAR",'[1]LMP IN MST'!$AB29="")),'[1]LMP IN PPT'!H31,IF(AND('[1]LMP IN PPT'!$A31='[1]LMP IN MST'!$A29,'[1]LMP IN MST'!$Z29="DST",'[1]LMP IN MST'!$AA29="FB",'[1]LMP IN MST'!$AB29="NOV"),'[1]LMP IN PPT'!I31,IF(AND('[1]LMP IN PPT'!$A31='[1]LMP IN MST'!$A29,'[1]LMP IN MST'!$Z29="ST",'[1]LMP IN MST'!$AA29="NORM",'[1]LMP IN MST'!$AB29="NOV"),'[1]LMP IN PPT'!I31,IF(AND('[1]LMP IN PPT'!$A31='[1]LMP IN MST'!$A29,'[1]LMP IN MST'!$Z29="DST",'[1]LMP IN MST'!$AA29="SF",'[1]LMP IN MST'!$AB29="MAR"),'[1]LMP IN PPT'!I31,IF(AND('[1]LMP IN PPT'!$A31='[1]LMP IN MST'!$A29,'[1]LMP IN MST'!$Z29="DST",'[1]LMP IN MST'!$AA29="NORM",'[1]LMP IN MST'!$AB29="NOV"),'[1]LMP IN PPT'!J31,IF(AND('[1]LMP IN PPT'!$A31='[1]LMP IN MST'!$A29,'[1]LMP IN MST'!$Z29="DST",'[1]LMP IN MST'!$AA29="NORM",OR('[1]LMP IN MST'!$AB29="MAR",'[1]LMP IN MST'!$AB29="")),'[1]LMP IN PPT'!I31,0))))))</f>
        <v>25.94519</v>
      </c>
      <c r="G29">
        <f>IF(AND('[1]LMP IN PPT'!$A31='[1]LMP IN MST'!$A29,'[1]LMP IN MST'!$Z29="ST",'[1]LMP IN MST'!$AA29="NORM",OR('[1]LMP IN MST'!$AB29="MAR",'[1]LMP IN MST'!$AB29="")),'[1]LMP IN PPT'!I31,IF(AND('[1]LMP IN PPT'!$A31='[1]LMP IN MST'!$A29,'[1]LMP IN MST'!$Z29="DST",'[1]LMP IN MST'!$AA29="FB",'[1]LMP IN MST'!$AB29="NOV"),'[1]LMP IN PPT'!J31,IF(AND('[1]LMP IN PPT'!$A31='[1]LMP IN MST'!$A29,'[1]LMP IN MST'!$Z29="ST",'[1]LMP IN MST'!$AA29="NORM",'[1]LMP IN MST'!$AB29="NOV"),'[1]LMP IN PPT'!J31,IF(AND('[1]LMP IN PPT'!$A31='[1]LMP IN MST'!$A29,'[1]LMP IN MST'!$Z29="DST",'[1]LMP IN MST'!$AA29="SF",'[1]LMP IN MST'!$AB29="MAR"),'[1]LMP IN PPT'!J31,IF(AND('[1]LMP IN PPT'!$A31='[1]LMP IN MST'!$A29,'[1]LMP IN MST'!$Z29="DST",'[1]LMP IN MST'!$AA29="NORM",'[1]LMP IN MST'!$AB29="NOV"),'[1]LMP IN PPT'!K31,IF(AND('[1]LMP IN PPT'!$A31='[1]LMP IN MST'!$A29,'[1]LMP IN MST'!$Z29="DST",'[1]LMP IN MST'!$AA29="NORM",OR('[1]LMP IN MST'!$AB29="MAR",'[1]LMP IN MST'!$AB29="")),'[1]LMP IN PPT'!J31,0))))))</f>
        <v>34.409999999999997</v>
      </c>
      <c r="H29">
        <f>IF(AND('[1]LMP IN PPT'!$A31='[1]LMP IN MST'!$A29,'[1]LMP IN MST'!$Z29="ST",'[1]LMP IN MST'!$AA29="NORM",OR('[1]LMP IN MST'!$AB29="MAR",'[1]LMP IN MST'!$AB29="")),'[1]LMP IN PPT'!J31,IF(AND('[1]LMP IN PPT'!$A31='[1]LMP IN MST'!$A29,'[1]LMP IN MST'!$Z29="DST",'[1]LMP IN MST'!$AA29="FB",'[1]LMP IN MST'!$AB29="NOV"),'[1]LMP IN PPT'!K31,IF(AND('[1]LMP IN PPT'!$A31='[1]LMP IN MST'!$A29,'[1]LMP IN MST'!$Z29="ST",'[1]LMP IN MST'!$AA29="NORM",'[1]LMP IN MST'!$AB29="NOV"),'[1]LMP IN PPT'!K31,IF(AND('[1]LMP IN PPT'!$A31='[1]LMP IN MST'!$A29,'[1]LMP IN MST'!$Z29="DST",'[1]LMP IN MST'!$AA29="SF",'[1]LMP IN MST'!$AB29="MAR"),'[1]LMP IN PPT'!K31,IF(AND('[1]LMP IN PPT'!$A31='[1]LMP IN MST'!$A29,'[1]LMP IN MST'!$Z29="DST",'[1]LMP IN MST'!$AA29="NORM",'[1]LMP IN MST'!$AB29="NOV"),'[1]LMP IN PPT'!L31,IF(AND('[1]LMP IN PPT'!$A31='[1]LMP IN MST'!$A29,'[1]LMP IN MST'!$Z29="DST",'[1]LMP IN MST'!$AA29="NORM",OR('[1]LMP IN MST'!$AB29="MAR",'[1]LMP IN MST'!$AB29="")),'[1]LMP IN PPT'!K31,0))))))</f>
        <v>39.713140000000003</v>
      </c>
      <c r="I29">
        <f>IF(AND('[1]LMP IN PPT'!$A31='[1]LMP IN MST'!$A29,'[1]LMP IN MST'!$Z29="ST",'[1]LMP IN MST'!$AA29="NORM",OR('[1]LMP IN MST'!$AB29="MAR",'[1]LMP IN MST'!$AB29="")),'[1]LMP IN PPT'!K31,IF(AND('[1]LMP IN PPT'!$A31='[1]LMP IN MST'!$A29,'[1]LMP IN MST'!$Z29="DST",'[1]LMP IN MST'!$AA29="FB",'[1]LMP IN MST'!$AB29="NOV"),'[1]LMP IN PPT'!L31,IF(AND('[1]LMP IN PPT'!$A31='[1]LMP IN MST'!$A29,'[1]LMP IN MST'!$Z29="ST",'[1]LMP IN MST'!$AA29="NORM",'[1]LMP IN MST'!$AB29="NOV"),'[1]LMP IN PPT'!L31,IF(AND('[1]LMP IN PPT'!$A31='[1]LMP IN MST'!$A29,'[1]LMP IN MST'!$Z29="DST",'[1]LMP IN MST'!$AA29="SF",'[1]LMP IN MST'!$AB29="MAR"),'[1]LMP IN PPT'!L31,IF(AND('[1]LMP IN PPT'!$A31='[1]LMP IN MST'!$A29,'[1]LMP IN MST'!$Z29="DST",'[1]LMP IN MST'!$AA29="NORM",'[1]LMP IN MST'!$AB29="NOV"),'[1]LMP IN PPT'!M31,IF(AND('[1]LMP IN PPT'!$A31='[1]LMP IN MST'!$A29,'[1]LMP IN MST'!$Z29="DST",'[1]LMP IN MST'!$AA29="NORM",OR('[1]LMP IN MST'!$AB29="MAR",'[1]LMP IN MST'!$AB29="")),'[1]LMP IN PPT'!L31,0))))))</f>
        <v>31.85</v>
      </c>
      <c r="J29">
        <f>IF(AND('[1]LMP IN PPT'!$A31='[1]LMP IN MST'!$A29,'[1]LMP IN MST'!$Z29="ST",'[1]LMP IN MST'!$AA29="NORM",OR('[1]LMP IN MST'!$AB29="MAR",'[1]LMP IN MST'!$AB29="")),'[1]LMP IN PPT'!L31,IF(AND('[1]LMP IN PPT'!$A31='[1]LMP IN MST'!$A29,'[1]LMP IN MST'!$Z29="DST",'[1]LMP IN MST'!$AA29="FB",'[1]LMP IN MST'!$AB29="NOV"),'[1]LMP IN PPT'!M31,IF(AND('[1]LMP IN PPT'!$A31='[1]LMP IN MST'!$A29,'[1]LMP IN MST'!$Z29="ST",'[1]LMP IN MST'!$AA29="NORM",'[1]LMP IN MST'!$AB29="NOV"),'[1]LMP IN PPT'!M31,IF(AND('[1]LMP IN PPT'!$A31='[1]LMP IN MST'!$A29,'[1]LMP IN MST'!$Z29="DST",'[1]LMP IN MST'!$AA29="SF",'[1]LMP IN MST'!$AB29="MAR"),'[1]LMP IN PPT'!M31,IF(AND('[1]LMP IN PPT'!$A31='[1]LMP IN MST'!$A29,'[1]LMP IN MST'!$Z29="DST",'[1]LMP IN MST'!$AA29="NORM",'[1]LMP IN MST'!$AB29="NOV"),'[1]LMP IN PPT'!N31,IF(AND('[1]LMP IN PPT'!$A31='[1]LMP IN MST'!$A29,'[1]LMP IN MST'!$Z29="DST",'[1]LMP IN MST'!$AA29="NORM",OR('[1]LMP IN MST'!$AB29="MAR",'[1]LMP IN MST'!$AB29="")),'[1]LMP IN PPT'!M31,0))))))</f>
        <v>7.7025100000000002</v>
      </c>
      <c r="K29">
        <f>IF(AND('[1]LMP IN PPT'!$A31='[1]LMP IN MST'!$A29,'[1]LMP IN MST'!$Z29="ST",'[1]LMP IN MST'!$AA29="NORM",OR('[1]LMP IN MST'!$AB29="MAR",'[1]LMP IN MST'!$AB29="")),'[1]LMP IN PPT'!M31,IF(AND('[1]LMP IN PPT'!$A31='[1]LMP IN MST'!$A29,'[1]LMP IN MST'!$Z29="DST",'[1]LMP IN MST'!$AA29="FB",'[1]LMP IN MST'!$AB29="NOV"),'[1]LMP IN PPT'!N31,IF(AND('[1]LMP IN PPT'!$A31='[1]LMP IN MST'!$A29,'[1]LMP IN MST'!$Z29="ST",'[1]LMP IN MST'!$AA29="NORM",'[1]LMP IN MST'!$AB29="NOV"),'[1]LMP IN PPT'!N31,IF(AND('[1]LMP IN PPT'!$A31='[1]LMP IN MST'!$A29,'[1]LMP IN MST'!$Z29="DST",'[1]LMP IN MST'!$AA29="SF",'[1]LMP IN MST'!$AB29="MAR"),'[1]LMP IN PPT'!N31,IF(AND('[1]LMP IN PPT'!$A31='[1]LMP IN MST'!$A29,'[1]LMP IN MST'!$Z29="DST",'[1]LMP IN MST'!$AA29="NORM",'[1]LMP IN MST'!$AB29="NOV"),'[1]LMP IN PPT'!O31,IF(AND('[1]LMP IN PPT'!$A31='[1]LMP IN MST'!$A29,'[1]LMP IN MST'!$Z29="DST",'[1]LMP IN MST'!$AA29="NORM",OR('[1]LMP IN MST'!$AB29="MAR",'[1]LMP IN MST'!$AB29="")),'[1]LMP IN PPT'!N31,0))))))</f>
        <v>-26.815329999999999</v>
      </c>
      <c r="L29">
        <f>IF(AND('[1]LMP IN PPT'!$A31='[1]LMP IN MST'!$A29,'[1]LMP IN MST'!$Z29="ST",'[1]LMP IN MST'!$AA29="NORM",OR('[1]LMP IN MST'!$AB29="MAR",'[1]LMP IN MST'!$AB29="")),'[1]LMP IN PPT'!N31,IF(AND('[1]LMP IN PPT'!$A31='[1]LMP IN MST'!$A29,'[1]LMP IN MST'!$Z29="DST",'[1]LMP IN MST'!$AA29="FB",'[1]LMP IN MST'!$AB29="NOV"),'[1]LMP IN PPT'!O31,IF(AND('[1]LMP IN PPT'!$A31='[1]LMP IN MST'!$A29,'[1]LMP IN MST'!$Z29="ST",'[1]LMP IN MST'!$AA29="NORM",'[1]LMP IN MST'!$AB29="NOV"),'[1]LMP IN PPT'!O31,IF(AND('[1]LMP IN PPT'!$A31='[1]LMP IN MST'!$A29,'[1]LMP IN MST'!$Z29="DST",'[1]LMP IN MST'!$AA29="SF",'[1]LMP IN MST'!$AB29="MAR"),'[1]LMP IN PPT'!O31,IF(AND('[1]LMP IN PPT'!$A31='[1]LMP IN MST'!$A29,'[1]LMP IN MST'!$Z29="DST",'[1]LMP IN MST'!$AA29="NORM",'[1]LMP IN MST'!$AB29="NOV"),'[1]LMP IN PPT'!P31,IF(AND('[1]LMP IN PPT'!$A31='[1]LMP IN MST'!$A29,'[1]LMP IN MST'!$Z29="DST",'[1]LMP IN MST'!$AA29="NORM",OR('[1]LMP IN MST'!$AB29="MAR",'[1]LMP IN MST'!$AB29="")),'[1]LMP IN PPT'!O31,0))))))</f>
        <v>-36.787439999999997</v>
      </c>
      <c r="M29">
        <f>IF(AND('[1]LMP IN PPT'!$A31='[1]LMP IN MST'!$A29,'[1]LMP IN MST'!$Z29="ST",'[1]LMP IN MST'!$AA29="NORM",OR('[1]LMP IN MST'!$AB29="MAR",'[1]LMP IN MST'!$AB29="")),'[1]LMP IN PPT'!O31,IF(AND('[1]LMP IN PPT'!$A31='[1]LMP IN MST'!$A29,'[1]LMP IN MST'!$Z29="DST",'[1]LMP IN MST'!$AA29="FB",'[1]LMP IN MST'!$AB29="NOV"),'[1]LMP IN PPT'!P31,IF(AND('[1]LMP IN PPT'!$A31='[1]LMP IN MST'!$A29,'[1]LMP IN MST'!$Z29="ST",'[1]LMP IN MST'!$AA29="NORM",'[1]LMP IN MST'!$AB29="NOV"),'[1]LMP IN PPT'!P31,IF(AND('[1]LMP IN PPT'!$A31='[1]LMP IN MST'!$A29,'[1]LMP IN MST'!$Z29="DST",'[1]LMP IN MST'!$AA29="SF",'[1]LMP IN MST'!$AB29="MAR"),'[1]LMP IN PPT'!P31,IF(AND('[1]LMP IN PPT'!$A31='[1]LMP IN MST'!$A29,'[1]LMP IN MST'!$Z29="DST",'[1]LMP IN MST'!$AA29="NORM",'[1]LMP IN MST'!$AB29="NOV"),'[1]LMP IN PPT'!Q31,IF(AND('[1]LMP IN PPT'!$A31='[1]LMP IN MST'!$A29,'[1]LMP IN MST'!$Z29="DST",'[1]LMP IN MST'!$AA29="NORM",OR('[1]LMP IN MST'!$AB29="MAR",'[1]LMP IN MST'!$AB29="")),'[1]LMP IN PPT'!P31,0))))))</f>
        <v>-38.849640000000001</v>
      </c>
      <c r="N29">
        <f>IF(AND('[1]LMP IN PPT'!$A31='[1]LMP IN MST'!$A29,'[1]LMP IN MST'!$Z29="ST",'[1]LMP IN MST'!$AA29="NORM",OR('[1]LMP IN MST'!$AB29="MAR",'[1]LMP IN MST'!$AB29="")),'[1]LMP IN PPT'!P31,IF(AND('[1]LMP IN PPT'!$A31='[1]LMP IN MST'!$A29,'[1]LMP IN MST'!$Z29="DST",'[1]LMP IN MST'!$AA29="FB",'[1]LMP IN MST'!$AB29="NOV"),'[1]LMP IN PPT'!Q31,IF(AND('[1]LMP IN PPT'!$A31='[1]LMP IN MST'!$A29,'[1]LMP IN MST'!$Z29="ST",'[1]LMP IN MST'!$AA29="NORM",'[1]LMP IN MST'!$AB29="NOV"),'[1]LMP IN PPT'!Q31,IF(AND('[1]LMP IN PPT'!$A31='[1]LMP IN MST'!$A29,'[1]LMP IN MST'!$Z29="DST",'[1]LMP IN MST'!$AA29="SF",'[1]LMP IN MST'!$AB29="MAR"),'[1]LMP IN PPT'!Q31,IF(AND('[1]LMP IN PPT'!$A31='[1]LMP IN MST'!$A29,'[1]LMP IN MST'!$Z29="DST",'[1]LMP IN MST'!$AA29="NORM",'[1]LMP IN MST'!$AB29="NOV"),'[1]LMP IN PPT'!R31,IF(AND('[1]LMP IN PPT'!$A31='[1]LMP IN MST'!$A29,'[1]LMP IN MST'!$Z29="DST",'[1]LMP IN MST'!$AA29="NORM",OR('[1]LMP IN MST'!$AB29="MAR",'[1]LMP IN MST'!$AB29="")),'[1]LMP IN PPT'!Q31,0))))))</f>
        <v>-39.453110000000002</v>
      </c>
      <c r="O29">
        <f>IF(AND('[1]LMP IN PPT'!$A31='[1]LMP IN MST'!$A29,'[1]LMP IN MST'!$Z29="ST",'[1]LMP IN MST'!$AA29="NORM",OR('[1]LMP IN MST'!$AB29="MAR",'[1]LMP IN MST'!$AB29="")),'[1]LMP IN PPT'!Q31,IF(AND('[1]LMP IN PPT'!$A31='[1]LMP IN MST'!$A29,'[1]LMP IN MST'!$Z29="DST",'[1]LMP IN MST'!$AA29="FB",'[1]LMP IN MST'!$AB29="NOV"),'[1]LMP IN PPT'!R31,IF(AND('[1]LMP IN PPT'!$A31='[1]LMP IN MST'!$A29,'[1]LMP IN MST'!$Z29="ST",'[1]LMP IN MST'!$AA29="NORM",'[1]LMP IN MST'!$AB29="NOV"),'[1]LMP IN PPT'!R31,IF(AND('[1]LMP IN PPT'!$A31='[1]LMP IN MST'!$A29,'[1]LMP IN MST'!$Z29="DST",'[1]LMP IN MST'!$AA29="SF",'[1]LMP IN MST'!$AB29="MAR"),'[1]LMP IN PPT'!R31,IF(AND('[1]LMP IN PPT'!$A31='[1]LMP IN MST'!$A29,'[1]LMP IN MST'!$Z29="DST",'[1]LMP IN MST'!$AA29="NORM",'[1]LMP IN MST'!$AB29="NOV"),'[1]LMP IN PPT'!S31,IF(AND('[1]LMP IN PPT'!$A31='[1]LMP IN MST'!$A29,'[1]LMP IN MST'!$Z29="DST",'[1]LMP IN MST'!$AA29="NORM",OR('[1]LMP IN MST'!$AB29="MAR",'[1]LMP IN MST'!$AB29="")),'[1]LMP IN PPT'!R31,0))))))</f>
        <v>-39.7806</v>
      </c>
      <c r="P29">
        <f>IF(AND('[1]LMP IN PPT'!$A31='[1]LMP IN MST'!$A29,'[1]LMP IN MST'!$Z29="ST",'[1]LMP IN MST'!$AA29="NORM",OR('[1]LMP IN MST'!$AB29="MAR",'[1]LMP IN MST'!$AB29="")),'[1]LMP IN PPT'!R31,IF(AND('[1]LMP IN PPT'!$A31='[1]LMP IN MST'!$A29,'[1]LMP IN MST'!$Z29="DST",'[1]LMP IN MST'!$AA29="FB",'[1]LMP IN MST'!$AB29="NOV"),'[1]LMP IN PPT'!S31,IF(AND('[1]LMP IN PPT'!$A31='[1]LMP IN MST'!$A29,'[1]LMP IN MST'!$Z29="ST",'[1]LMP IN MST'!$AA29="NORM",'[1]LMP IN MST'!$AB29="NOV"),'[1]LMP IN PPT'!S31,IF(AND('[1]LMP IN PPT'!$A31='[1]LMP IN MST'!$A29,'[1]LMP IN MST'!$Z29="DST",'[1]LMP IN MST'!$AA29="SF",'[1]LMP IN MST'!$AB29="MAR"),'[1]LMP IN PPT'!S31,IF(AND('[1]LMP IN PPT'!$A31='[1]LMP IN MST'!$A29,'[1]LMP IN MST'!$Z29="DST",'[1]LMP IN MST'!$AA29="NORM",'[1]LMP IN MST'!$AB29="NOV"),'[1]LMP IN PPT'!T31,IF(AND('[1]LMP IN PPT'!$A31='[1]LMP IN MST'!$A29,'[1]LMP IN MST'!$Z29="DST",'[1]LMP IN MST'!$AA29="NORM",OR('[1]LMP IN MST'!$AB29="MAR",'[1]LMP IN MST'!$AB29="")),'[1]LMP IN PPT'!S31,0))))))</f>
        <v>-39.64593</v>
      </c>
      <c r="Q29">
        <f>IF(AND('[1]LMP IN PPT'!$A31='[1]LMP IN MST'!$A29,'[1]LMP IN MST'!$Z29="ST",'[1]LMP IN MST'!$AA29="NORM",OR('[1]LMP IN MST'!$AB29="MAR",'[1]LMP IN MST'!$AB29="")),'[1]LMP IN PPT'!S31,IF(AND('[1]LMP IN PPT'!$A31='[1]LMP IN MST'!$A29,'[1]LMP IN MST'!$Z29="DST",'[1]LMP IN MST'!$AA29="FB",'[1]LMP IN MST'!$AB29="NOV"),'[1]LMP IN PPT'!T31,IF(AND('[1]LMP IN PPT'!$A31='[1]LMP IN MST'!$A29,'[1]LMP IN MST'!$Z29="ST",'[1]LMP IN MST'!$AA29="NORM",'[1]LMP IN MST'!$AB29="NOV"),'[1]LMP IN PPT'!T31,IF(AND('[1]LMP IN PPT'!$A31='[1]LMP IN MST'!$A29,'[1]LMP IN MST'!$Z29="DST",'[1]LMP IN MST'!$AA29="SF",'[1]LMP IN MST'!$AB29="MAR"),'[1]LMP IN PPT'!T31,IF(AND('[1]LMP IN PPT'!$A31='[1]LMP IN MST'!$A29,'[1]LMP IN MST'!$Z29="DST",'[1]LMP IN MST'!$AA29="NORM",'[1]LMP IN MST'!$AB29="NOV"),'[1]LMP IN PPT'!U31,IF(AND('[1]LMP IN PPT'!$A31='[1]LMP IN MST'!$A29,'[1]LMP IN MST'!$Z29="DST",'[1]LMP IN MST'!$AA29="NORM",OR('[1]LMP IN MST'!$AB29="MAR",'[1]LMP IN MST'!$AB29="")),'[1]LMP IN PPT'!T31,0))))))</f>
        <v>-39.793050000000001</v>
      </c>
      <c r="R29">
        <f>IF(AND('[1]LMP IN PPT'!$A31='[1]LMP IN MST'!$A29,'[1]LMP IN MST'!$Z29="ST",'[1]LMP IN MST'!$AA29="NORM",OR('[1]LMP IN MST'!$AB29="MAR",'[1]LMP IN MST'!$AB29="")),'[1]LMP IN PPT'!T31,IF(AND('[1]LMP IN PPT'!$A31='[1]LMP IN MST'!$A29,'[1]LMP IN MST'!$Z29="DST",'[1]LMP IN MST'!$AA29="FB",'[1]LMP IN MST'!$AB29="NOV"),'[1]LMP IN PPT'!U31,IF(AND('[1]LMP IN PPT'!$A31='[1]LMP IN MST'!$A29,'[1]LMP IN MST'!$Z29="ST",'[1]LMP IN MST'!$AA29="NORM",'[1]LMP IN MST'!$AB29="NOV"),'[1]LMP IN PPT'!U31,IF(AND('[1]LMP IN PPT'!$A31='[1]LMP IN MST'!$A29,'[1]LMP IN MST'!$Z29="DST",'[1]LMP IN MST'!$AA29="SF",'[1]LMP IN MST'!$AB29="MAR"),'[1]LMP IN PPT'!U31,IF(AND('[1]LMP IN PPT'!$A31='[1]LMP IN MST'!$A29,'[1]LMP IN MST'!$Z29="DST",'[1]LMP IN MST'!$AA29="NORM",'[1]LMP IN MST'!$AB29="NOV"),'[1]LMP IN PPT'!V31,IF(AND('[1]LMP IN PPT'!$A31='[1]LMP IN MST'!$A29,'[1]LMP IN MST'!$Z29="DST",'[1]LMP IN MST'!$AA29="NORM",OR('[1]LMP IN MST'!$AB29="MAR",'[1]LMP IN MST'!$AB29="")),'[1]LMP IN PPT'!U31,0))))))</f>
        <v>-31.558800000000002</v>
      </c>
      <c r="S29">
        <f>IF(AND('[1]LMP IN PPT'!$A31='[1]LMP IN MST'!$A29,'[1]LMP IN MST'!$Z29="ST",'[1]LMP IN MST'!$AA29="NORM",OR('[1]LMP IN MST'!$AB29="MAR",'[1]LMP IN MST'!$AB29="")),'[1]LMP IN PPT'!U31,IF(AND('[1]LMP IN PPT'!$A31='[1]LMP IN MST'!$A29,'[1]LMP IN MST'!$Z29="DST",'[1]LMP IN MST'!$AA29="FB",'[1]LMP IN MST'!$AB29="NOV"),'[1]LMP IN PPT'!V31,IF(AND('[1]LMP IN PPT'!$A31='[1]LMP IN MST'!$A29,'[1]LMP IN MST'!$Z29="ST",'[1]LMP IN MST'!$AA29="NORM",'[1]LMP IN MST'!$AB29="NOV"),'[1]LMP IN PPT'!V31,IF(AND('[1]LMP IN PPT'!$A31='[1]LMP IN MST'!$A29,'[1]LMP IN MST'!$Z29="DST",'[1]LMP IN MST'!$AA29="SF",'[1]LMP IN MST'!$AB29="MAR"),'[1]LMP IN PPT'!V31,IF(AND('[1]LMP IN PPT'!$A31='[1]LMP IN MST'!$A29,'[1]LMP IN MST'!$Z29="DST",'[1]LMP IN MST'!$AA29="NORM",'[1]LMP IN MST'!$AB29="NOV"),'[1]LMP IN PPT'!W31,IF(AND('[1]LMP IN PPT'!$A31='[1]LMP IN MST'!$A29,'[1]LMP IN MST'!$Z29="DST",'[1]LMP IN MST'!$AA29="NORM",OR('[1]LMP IN MST'!$AB29="MAR",'[1]LMP IN MST'!$AB29="")),'[1]LMP IN PPT'!V31,0))))))</f>
        <v>5.3503400000000001</v>
      </c>
      <c r="T29">
        <f>IF(AND('[1]LMP IN PPT'!$A31='[1]LMP IN MST'!$A29,'[1]LMP IN MST'!$Z29="ST",'[1]LMP IN MST'!$AA29="NORM",OR('[1]LMP IN MST'!$AB29="MAR",'[1]LMP IN MST'!$AB29="")),'[1]LMP IN PPT'!V31,IF(AND('[1]LMP IN PPT'!$A31='[1]LMP IN MST'!$A29,'[1]LMP IN MST'!$Z29="DST",'[1]LMP IN MST'!$AA29="FB",'[1]LMP IN MST'!$AB29="NOV"),'[1]LMP IN PPT'!W31,IF(AND('[1]LMP IN PPT'!$A31='[1]LMP IN MST'!$A29,'[1]LMP IN MST'!$Z29="ST",'[1]LMP IN MST'!$AA29="NORM",'[1]LMP IN MST'!$AB29="NOV"),'[1]LMP IN PPT'!W31,IF(AND('[1]LMP IN PPT'!$A31='[1]LMP IN MST'!$A29,'[1]LMP IN MST'!$Z29="DST",'[1]LMP IN MST'!$AA29="SF",'[1]LMP IN MST'!$AB29="MAR"),'[1]LMP IN PPT'!W31,IF(AND('[1]LMP IN PPT'!$A31='[1]LMP IN MST'!$A29,'[1]LMP IN MST'!$Z29="DST",'[1]LMP IN MST'!$AA29="NORM",'[1]LMP IN MST'!$AB29="NOV"),'[1]LMP IN PPT'!X31,IF(AND('[1]LMP IN PPT'!$A31='[1]LMP IN MST'!$A29,'[1]LMP IN MST'!$Z29="DST",'[1]LMP IN MST'!$AA29="NORM",OR('[1]LMP IN MST'!$AB29="MAR",'[1]LMP IN MST'!$AB29="")),'[1]LMP IN PPT'!W31,0))))))</f>
        <v>35.880330000000001</v>
      </c>
      <c r="U29">
        <f>IF(AND('[1]LMP IN PPT'!$A31='[1]LMP IN MST'!$A29,'[1]LMP IN MST'!$Z29="ST",'[1]LMP IN MST'!$AA29="NORM",OR('[1]LMP IN MST'!$AB29="MAR",'[1]LMP IN MST'!$AB29="")),'[1]LMP IN PPT'!W31,IF(AND('[1]LMP IN PPT'!$A31='[1]LMP IN MST'!$A29,'[1]LMP IN MST'!$Z29="DST",'[1]LMP IN MST'!$AA29="FB",'[1]LMP IN MST'!$AB29="NOV"),'[1]LMP IN PPT'!X31,IF(AND('[1]LMP IN PPT'!$A31='[1]LMP IN MST'!$A29,'[1]LMP IN MST'!$Z29="ST",'[1]LMP IN MST'!$AA29="NORM",'[1]LMP IN MST'!$AB29="NOV"),'[1]LMP IN PPT'!X31,IF(AND('[1]LMP IN PPT'!$A31='[1]LMP IN MST'!$A29,'[1]LMP IN MST'!$Z29="DST",'[1]LMP IN MST'!$AA29="SF",'[1]LMP IN MST'!$AB29="MAR"),'[1]LMP IN PPT'!X31,IF(AND('[1]LMP IN PPT'!$A31='[1]LMP IN MST'!$A29,'[1]LMP IN MST'!$Z29="DST",'[1]LMP IN MST'!$AA29="NORM",'[1]LMP IN MST'!$AB29="NOV"),'[1]LMP IN PPT'!Y31,IF(AND('[1]LMP IN PPT'!$A31='[1]LMP IN MST'!$A29,'[1]LMP IN MST'!$Z29="DST",'[1]LMP IN MST'!$AA29="NORM",OR('[1]LMP IN MST'!$AB29="MAR",'[1]LMP IN MST'!$AB29="")),'[1]LMP IN PPT'!X31,0))))))</f>
        <v>38.154200000000003</v>
      </c>
      <c r="V29">
        <f>IF(AND('[1]LMP IN PPT'!$A31='[1]LMP IN MST'!$A29,'[1]LMP IN MST'!$Z29="ST",'[1]LMP IN MST'!$AA29="NORM",OR('[1]LMP IN MST'!$AB29="MAR",'[1]LMP IN MST'!$AB29="")),'[1]LMP IN PPT'!X31,IF(AND('[1]LMP IN PPT'!$A31='[1]LMP IN MST'!$A29,'[1]LMP IN MST'!$Z29="DST",'[1]LMP IN MST'!$AA29="FB",'[1]LMP IN MST'!$AB29="NOV"),'[1]LMP IN PPT'!Y31,IF(AND('[1]LMP IN PPT'!$A31='[1]LMP IN MST'!$A29,'[1]LMP IN MST'!$Z29="ST",'[1]LMP IN MST'!$AA29="NORM",'[1]LMP IN MST'!$AB29="NOV"),'[1]LMP IN PPT'!Y31,IF(AND('[1]LMP IN PPT'!$A31='[1]LMP IN MST'!$A29,'[1]LMP IN MST'!$Z29="DST",'[1]LMP IN MST'!$AA29="SF",'[1]LMP IN MST'!$AB29="MAR"),'[1]LMP IN PPT'!Y31,IF(AND('[1]LMP IN PPT'!$A31='[1]LMP IN MST'!$A29,'[1]LMP IN MST'!$Z29="DST",'[1]LMP IN MST'!$AA29="NORM",'[1]LMP IN MST'!$AB29="NOV"),'[1]LMP IN PPT'!Z31,IF(AND('[1]LMP IN PPT'!$A31='[1]LMP IN MST'!$A29,'[1]LMP IN MST'!$Z29="DST",'[1]LMP IN MST'!$AA29="NORM",OR('[1]LMP IN MST'!$AB29="MAR",'[1]LMP IN MST'!$AB29="")),'[1]LMP IN PPT'!Y31,0))))))</f>
        <v>38.32085</v>
      </c>
      <c r="W29">
        <f>IF(AND('[1]LMP IN PPT'!$A31='[1]LMP IN MST'!$A29,'[1]LMP IN MST'!$Z29="ST",'[1]LMP IN MST'!$AA29="NORM",OR('[1]LMP IN MST'!$AB29="MAR",'[1]LMP IN MST'!$AB29="")),'[1]LMP IN PPT'!Y31,IF(AND('[1]LMP IN PPT'!$A31='[1]LMP IN MST'!$A29,'[1]LMP IN MST'!$Z29="DST",'[1]LMP IN MST'!$AA29="FB",'[1]LMP IN MST'!$AB29="NOV"),'[1]LMP IN PPT'!Z31,IF(AND('[1]LMP IN PPT'!$A31='[1]LMP IN MST'!$A29,'[1]LMP IN MST'!$Z29="ST",'[1]LMP IN MST'!$AA29="NORM",'[1]LMP IN MST'!$AB29="NOV"),'[1]LMP IN PPT'!Z31,IF(AND('[1]LMP IN PPT'!$A31='[1]LMP IN MST'!$A29,'[1]LMP IN MST'!$Z29="DST",'[1]LMP IN MST'!$AA29="SF",'[1]LMP IN MST'!$AB29="MAR"),'[1]LMP IN PPT'!Z31,IF(AND('[1]LMP IN PPT'!$A31='[1]LMP IN MST'!$A29,'[1]LMP IN MST'!$Z29="DST",'[1]LMP IN MST'!$AA29="NORM",'[1]LMP IN MST'!$AB29="NOV"),'[1]LMP IN PPT'!AA31,IF(AND('[1]LMP IN PPT'!$A31='[1]LMP IN MST'!$A29,'[1]LMP IN MST'!$Z29="DST",'[1]LMP IN MST'!$AA29="NORM",OR('[1]LMP IN MST'!$AB29="MAR",'[1]LMP IN MST'!$AB29="")),'[1]LMP IN PPT'!Z31,0))))))</f>
        <v>36.64134</v>
      </c>
      <c r="X29">
        <f>IF(AND('[1]LMP IN PPT'!$A31='[1]LMP IN MST'!$A29,'[1]LMP IN MST'!$Z29="ST",'[1]LMP IN MST'!$AA29="NORM",OR('[1]LMP IN MST'!$AB29="MAR",'[1]LMP IN MST'!$AB29="")),'[1]LMP IN PPT'!Z31,IF(AND('[1]LMP IN PPT'!$A31='[1]LMP IN MST'!$A29,'[1]LMP IN MST'!$Z29="DST",'[1]LMP IN MST'!$AA29="FB",'[1]LMP IN MST'!$AB29="NOV"),'[1]LMP IN PPT'!AA31,IF(AND('[1]LMP IN PPT'!$A31='[1]LMP IN MST'!$A29,'[1]LMP IN MST'!$Z29="ST",'[1]LMP IN MST'!$AA29="NORM",'[1]LMP IN MST'!$AB29="NOV"),'[1]LMP IN PPT'!AA31,IF(AND('[1]LMP IN PPT'!$A31='[1]LMP IN MST'!$A29,'[1]LMP IN MST'!$Z29="DST",'[1]LMP IN MST'!$AA29="SF",'[1]LMP IN MST'!$AB29="MAR"),'[1]LMP IN PPT'!AA31,IF(AND('[1]LMP IN PPT'!$A31='[1]LMP IN MST'!$A29,'[1]LMP IN MST'!$Z29="DST",'[1]LMP IN MST'!$AA29="NORM",'[1]LMP IN MST'!$AB29="NOV"),'[1]LMP IN PPT'!AB31,IF(AND('[1]LMP IN PPT'!$A31='[1]LMP IN MST'!$A29,'[1]LMP IN MST'!$Z29="DST",'[1]LMP IN MST'!$AA29="NORM",OR('[1]LMP IN MST'!$AB29="MAR",'[1]LMP IN MST'!$AB29="")),'[1]LMP IN PPT'!AA31,0))))))</f>
        <v>35.658149999999999</v>
      </c>
      <c r="Y29">
        <f>IF(AND('[1]LMP IN PPT'!$A31='[1]LMP IN MST'!$A29,'[1]LMP IN MST'!$Z29="ST",'[1]LMP IN MST'!$AA29="NORM",OR('[1]LMP IN MST'!$AB29="MAR",'[1]LMP IN MST'!$AB29="")),'[1]LMP IN PPT'!AA31,IF(AND('[1]LMP IN PPT'!$A31='[1]LMP IN MST'!$A29,'[1]LMP IN MST'!$Z29="DST",'[1]LMP IN MST'!$AA29="FB",'[1]LMP IN MST'!$AB29="NOV"),'[1]LMP IN PPT'!AB31,IF(AND('[1]LMP IN PPT'!$A31='[1]LMP IN MST'!$A29,'[1]LMP IN MST'!$Z29="ST",'[1]LMP IN MST'!$AA29="NORM",'[1]LMP IN MST'!$AB29="NOV"),'[1]LMP IN PPT'!AB31,IF(AND('[1]LMP IN PPT'!$A31='[1]LMP IN MST'!$A29,'[1]LMP IN MST'!$Z29="DST",'[1]LMP IN MST'!$AA29="SF",'[1]LMP IN MST'!$AB29="MAR"),'[1]LMP IN PPT'!AB31,IF(AND('[1]LMP IN PPT'!$A31='[1]LMP IN MST'!$A29,'[1]LMP IN MST'!$Z29="DST",'[1]LMP IN MST'!$AA29="NORM",'[1]LMP IN MST'!$AB29="NOV"),'[1]LMP IN PPT'!AC31,IF(AND('[1]LMP IN PPT'!$A31='[1]LMP IN MST'!$A29,'[1]LMP IN MST'!$Z29="DST",'[1]LMP IN MST'!$AA29="NORM",OR('[1]LMP IN MST'!$AB29="MAR",'[1]LMP IN MST'!$AB29="")),'[1]LMP IN PPT'!AB31,0))))))</f>
        <v>31.903379999999999</v>
      </c>
    </row>
    <row r="30" spans="1:25" x14ac:dyDescent="0.3">
      <c r="A30" s="1">
        <f t="shared" si="0"/>
        <v>45380</v>
      </c>
      <c r="B30">
        <f>IF(AND('[1]LMP IN PPT'!$A32='[1]LMP IN MST'!$A30,'[1]LMP IN MST'!$Z30="ST",'[1]LMP IN MST'!$AA30="NORM",'[1]LMP IN MST'!$AB30="NOV"),'[1]LMP IN PPT'!AC31,IF(AND('[1]LMP IN PPT'!$A32='[1]LMP IN MST'!$A30,'[1]LMP IN MST'!$Z30="ST",'[1]LMP IN MST'!$AA30="NORM",'[1]LMP IN MST'!$AB30="MAR"),'[1]LMP IN PPT'!AB31,IF(AND('[1]LMP IN PPT'!$A32='[1]LMP IN MST'!$A30,'[1]LMP IN MST'!$Z30="ST",'[1]LMP IN MST'!$AA30="NORM",'[1]LMP IN MST'!$AB30=""),'[1]LMP IN PPT'!AB31,IF(AND('[1]LMP IN PPT'!$A32='[1]LMP IN MST'!$A30,'[1]LMP IN MST'!$Z30="DST",'[1]LMP IN MST'!$AA30="FB",'[1]LMP IN MST'!$AB30="NOV"),'[1]LMP IN PPT'!E32,IF(AND('[1]LMP IN PPT'!$A32='[1]LMP IN MST'!$A30,'[1]LMP IN MST'!$Z30="DST",'[1]LMP IN MST'!$AA30="SF",'[1]LMP IN MST'!$AB30="MAR"),'[1]LMP IN PPT'!AB31,IF(AND('[1]LMP IN PPT'!$A32='[1]LMP IN MST'!$A30,'[1]LMP IN MST'!$Z30="DST",'[1]LMP IN MST'!$AA30="NORM",OR('[1]LMP IN MST'!$AB30="MAR",'[1]LMP IN MST'!$AB30="",'[1]LMP IN MST'!$AB30="NOV")),'[1]LMP IN PPT'!E32,0))))))</f>
        <v>21.09252</v>
      </c>
      <c r="C30">
        <f>IF(AND('[1]LMP IN PPT'!$A32='[1]LMP IN MST'!$A30,'[1]LMP IN MST'!$Z30="ST",'[1]LMP IN MST'!$AA30="NORM",OR('[1]LMP IN MST'!$AB30="NOV",'[1]LMP IN MST'!$AB30="MAR",'[1]LMP IN MST'!$AB30="")),'[1]LMP IN PPT'!E32,IF(AND('[1]LMP IN PPT'!$A32='[1]LMP IN MST'!$A30,'[1]LMP IN MST'!$Z30="DST",'[1]LMP IN MST'!$AA30="FB",'[1]LMP IN MST'!$AB30="NOV"),'[1]LMP IN PPT'!F32,IF(AND('[1]LMP IN PPT'!$A32='[1]LMP IN MST'!$A30,'[1]LMP IN MST'!$Z30="DST",'[1]LMP IN MST'!$AA30="SF",'[1]LMP IN MST'!$AB30="MAR"),'[1]LMP IN PPT'!E32,IF(AND('[1]LMP IN PPT'!$A32='[1]LMP IN MST'!$A30,'[1]LMP IN MST'!$Z30="DST",'[1]LMP IN MST'!$AA30="NORM",OR('[1]LMP IN MST'!$AB30="MAR",'[1]LMP IN MST'!$AB30="",'[1]LMP IN MST'!$AB30="NOV")),'[1]LMP IN PPT'!F32,0))))</f>
        <v>20.664809999999999</v>
      </c>
      <c r="D30">
        <f>IF(AND('[1]LMP IN PPT'!$A32='[1]LMP IN MST'!$A30,'[1]LMP IN MST'!$Z30="ST",'[1]LMP IN MST'!$AA30="NORM",OR('[1]LMP IN MST'!$AB30="NOV",'[1]LMP IN MST'!$AB30="MAR",'[1]LMP IN MST'!$AB30="")),'[1]LMP IN PPT'!F32,IF(AND('[1]LMP IN PPT'!$A32='[1]LMP IN MST'!$A30,'[1]LMP IN MST'!$Z30="DST",'[1]LMP IN MST'!$AA30="FB",'[1]LMP IN MST'!$AB30="NOV"),'[1]LMP IN PPT'!G32,IF(AND('[1]LMP IN PPT'!$A32='[1]LMP IN MST'!$A30,'[1]LMP IN MST'!$Z30="DST",'[1]LMP IN MST'!$AA30="SF",'[1]LMP IN MST'!$AB30="MAR"),'[1]LMP IN PPT'!F32,IF(AND('[1]LMP IN PPT'!$A32='[1]LMP IN MST'!$A30,'[1]LMP IN MST'!$Z30="DST",'[1]LMP IN MST'!$AA30="NORM",'[1]LMP IN MST'!$AB30="NOV"),'[1]LMP IN PPT'!H32,IF(AND('[1]LMP IN PPT'!$A32='[1]LMP IN MST'!$A30,'[1]LMP IN MST'!$Z30="DST",'[1]LMP IN MST'!$AA30="NORM",OR('[1]LMP IN MST'!$AB30="MAR",'[1]LMP IN MST'!$AB30="")),'[1]LMP IN PPT'!G32,0)))))</f>
        <v>22.137589999999999</v>
      </c>
      <c r="E30">
        <f>IF(AND('[1]LMP IN PPT'!$A32='[1]LMP IN MST'!$A30,'[1]LMP IN MST'!$Z30="ST",'[1]LMP IN MST'!$AA30="NORM",OR('[1]LMP IN MST'!$AB30="MAR",'[1]LMP IN MST'!$AB30="")),'[1]LMP IN PPT'!G32,IF(AND('[1]LMP IN PPT'!$A32='[1]LMP IN MST'!$A30,'[1]LMP IN MST'!$Z30="DST",'[1]LMP IN MST'!$AA30="FB",'[1]LMP IN MST'!$AB30="NOV"),'[1]LMP IN PPT'!H32,IF(AND('[1]LMP IN PPT'!$A32='[1]LMP IN MST'!$A30,'[1]LMP IN MST'!$Z30="ST",'[1]LMP IN MST'!$AA30="NORM",'[1]LMP IN MST'!$AB30="NOV"),'[1]LMP IN PPT'!H32,IF(AND('[1]LMP IN PPT'!$A32='[1]LMP IN MST'!$A30,'[1]LMP IN MST'!$Z30="DST",'[1]LMP IN MST'!$AA30="SF",'[1]LMP IN MST'!$AB30="MAR"),'[1]LMP IN PPT'!H32,IF(AND('[1]LMP IN PPT'!$A32='[1]LMP IN MST'!$A30,'[1]LMP IN MST'!$Z30="DST",'[1]LMP IN MST'!$AA30="NORM",'[1]LMP IN MST'!$AB30="NOV"),'[1]LMP IN PPT'!I32,IF(AND('[1]LMP IN PPT'!$A32='[1]LMP IN MST'!$A30,'[1]LMP IN MST'!$Z30="DST",'[1]LMP IN MST'!$AA30="NORM",OR('[1]LMP IN MST'!$AB30="MAR",'[1]LMP IN MST'!$AB30="")),'[1]LMP IN PPT'!H32,0))))))</f>
        <v>22.296430000000001</v>
      </c>
      <c r="F30">
        <f>IF(AND('[1]LMP IN PPT'!$A32='[1]LMP IN MST'!$A30,'[1]LMP IN MST'!$Z30="ST",'[1]LMP IN MST'!$AA30="NORM",OR('[1]LMP IN MST'!$AB30="MAR",'[1]LMP IN MST'!$AB30="")),'[1]LMP IN PPT'!H32,IF(AND('[1]LMP IN PPT'!$A32='[1]LMP IN MST'!$A30,'[1]LMP IN MST'!$Z30="DST",'[1]LMP IN MST'!$AA30="FB",'[1]LMP IN MST'!$AB30="NOV"),'[1]LMP IN PPT'!I32,IF(AND('[1]LMP IN PPT'!$A32='[1]LMP IN MST'!$A30,'[1]LMP IN MST'!$Z30="ST",'[1]LMP IN MST'!$AA30="NORM",'[1]LMP IN MST'!$AB30="NOV"),'[1]LMP IN PPT'!I32,IF(AND('[1]LMP IN PPT'!$A32='[1]LMP IN MST'!$A30,'[1]LMP IN MST'!$Z30="DST",'[1]LMP IN MST'!$AA30="SF",'[1]LMP IN MST'!$AB30="MAR"),'[1]LMP IN PPT'!I32,IF(AND('[1]LMP IN PPT'!$A32='[1]LMP IN MST'!$A30,'[1]LMP IN MST'!$Z30="DST",'[1]LMP IN MST'!$AA30="NORM",'[1]LMP IN MST'!$AB30="NOV"),'[1]LMP IN PPT'!J32,IF(AND('[1]LMP IN PPT'!$A32='[1]LMP IN MST'!$A30,'[1]LMP IN MST'!$Z30="DST",'[1]LMP IN MST'!$AA30="NORM",OR('[1]LMP IN MST'!$AB30="MAR",'[1]LMP IN MST'!$AB30="")),'[1]LMP IN PPT'!I32,0))))))</f>
        <v>21.40849</v>
      </c>
      <c r="G30">
        <f>IF(AND('[1]LMP IN PPT'!$A32='[1]LMP IN MST'!$A30,'[1]LMP IN MST'!$Z30="ST",'[1]LMP IN MST'!$AA30="NORM",OR('[1]LMP IN MST'!$AB30="MAR",'[1]LMP IN MST'!$AB30="")),'[1]LMP IN PPT'!I32,IF(AND('[1]LMP IN PPT'!$A32='[1]LMP IN MST'!$A30,'[1]LMP IN MST'!$Z30="DST",'[1]LMP IN MST'!$AA30="FB",'[1]LMP IN MST'!$AB30="NOV"),'[1]LMP IN PPT'!J32,IF(AND('[1]LMP IN PPT'!$A32='[1]LMP IN MST'!$A30,'[1]LMP IN MST'!$Z30="ST",'[1]LMP IN MST'!$AA30="NORM",'[1]LMP IN MST'!$AB30="NOV"),'[1]LMP IN PPT'!J32,IF(AND('[1]LMP IN PPT'!$A32='[1]LMP IN MST'!$A30,'[1]LMP IN MST'!$Z30="DST",'[1]LMP IN MST'!$AA30="SF",'[1]LMP IN MST'!$AB30="MAR"),'[1]LMP IN PPT'!J32,IF(AND('[1]LMP IN PPT'!$A32='[1]LMP IN MST'!$A30,'[1]LMP IN MST'!$Z30="DST",'[1]LMP IN MST'!$AA30="NORM",'[1]LMP IN MST'!$AB30="NOV"),'[1]LMP IN PPT'!K32,IF(AND('[1]LMP IN PPT'!$A32='[1]LMP IN MST'!$A30,'[1]LMP IN MST'!$Z30="DST",'[1]LMP IN MST'!$AA30="NORM",OR('[1]LMP IN MST'!$AB30="MAR",'[1]LMP IN MST'!$AB30="")),'[1]LMP IN PPT'!J32,0))))))</f>
        <v>28.987549999999999</v>
      </c>
      <c r="H30">
        <f>IF(AND('[1]LMP IN PPT'!$A32='[1]LMP IN MST'!$A30,'[1]LMP IN MST'!$Z30="ST",'[1]LMP IN MST'!$AA30="NORM",OR('[1]LMP IN MST'!$AB30="MAR",'[1]LMP IN MST'!$AB30="")),'[1]LMP IN PPT'!J32,IF(AND('[1]LMP IN PPT'!$A32='[1]LMP IN MST'!$A30,'[1]LMP IN MST'!$Z30="DST",'[1]LMP IN MST'!$AA30="FB",'[1]LMP IN MST'!$AB30="NOV"),'[1]LMP IN PPT'!K32,IF(AND('[1]LMP IN PPT'!$A32='[1]LMP IN MST'!$A30,'[1]LMP IN MST'!$Z30="ST",'[1]LMP IN MST'!$AA30="NORM",'[1]LMP IN MST'!$AB30="NOV"),'[1]LMP IN PPT'!K32,IF(AND('[1]LMP IN PPT'!$A32='[1]LMP IN MST'!$A30,'[1]LMP IN MST'!$Z30="DST",'[1]LMP IN MST'!$AA30="SF",'[1]LMP IN MST'!$AB30="MAR"),'[1]LMP IN PPT'!K32,IF(AND('[1]LMP IN PPT'!$A32='[1]LMP IN MST'!$A30,'[1]LMP IN MST'!$Z30="DST",'[1]LMP IN MST'!$AA30="NORM",'[1]LMP IN MST'!$AB30="NOV"),'[1]LMP IN PPT'!L32,IF(AND('[1]LMP IN PPT'!$A32='[1]LMP IN MST'!$A30,'[1]LMP IN MST'!$Z30="DST",'[1]LMP IN MST'!$AA30="NORM",OR('[1]LMP IN MST'!$AB30="MAR",'[1]LMP IN MST'!$AB30="")),'[1]LMP IN PPT'!K32,0))))))</f>
        <v>36.698619999999998</v>
      </c>
      <c r="I30">
        <f>IF(AND('[1]LMP IN PPT'!$A32='[1]LMP IN MST'!$A30,'[1]LMP IN MST'!$Z30="ST",'[1]LMP IN MST'!$AA30="NORM",OR('[1]LMP IN MST'!$AB30="MAR",'[1]LMP IN MST'!$AB30="")),'[1]LMP IN PPT'!K32,IF(AND('[1]LMP IN PPT'!$A32='[1]LMP IN MST'!$A30,'[1]LMP IN MST'!$Z30="DST",'[1]LMP IN MST'!$AA30="FB",'[1]LMP IN MST'!$AB30="NOV"),'[1]LMP IN PPT'!L32,IF(AND('[1]LMP IN PPT'!$A32='[1]LMP IN MST'!$A30,'[1]LMP IN MST'!$Z30="ST",'[1]LMP IN MST'!$AA30="NORM",'[1]LMP IN MST'!$AB30="NOV"),'[1]LMP IN PPT'!L32,IF(AND('[1]LMP IN PPT'!$A32='[1]LMP IN MST'!$A30,'[1]LMP IN MST'!$Z30="DST",'[1]LMP IN MST'!$AA30="SF",'[1]LMP IN MST'!$AB30="MAR"),'[1]LMP IN PPT'!L32,IF(AND('[1]LMP IN PPT'!$A32='[1]LMP IN MST'!$A30,'[1]LMP IN MST'!$Z30="DST",'[1]LMP IN MST'!$AA30="NORM",'[1]LMP IN MST'!$AB30="NOV"),'[1]LMP IN PPT'!M32,IF(AND('[1]LMP IN PPT'!$A32='[1]LMP IN MST'!$A30,'[1]LMP IN MST'!$Z30="DST",'[1]LMP IN MST'!$AA30="NORM",OR('[1]LMP IN MST'!$AB30="MAR",'[1]LMP IN MST'!$AB30="")),'[1]LMP IN PPT'!L32,0))))))</f>
        <v>31.461290000000002</v>
      </c>
      <c r="J30">
        <f>IF(AND('[1]LMP IN PPT'!$A32='[1]LMP IN MST'!$A30,'[1]LMP IN MST'!$Z30="ST",'[1]LMP IN MST'!$AA30="NORM",OR('[1]LMP IN MST'!$AB30="MAR",'[1]LMP IN MST'!$AB30="")),'[1]LMP IN PPT'!L32,IF(AND('[1]LMP IN PPT'!$A32='[1]LMP IN MST'!$A30,'[1]LMP IN MST'!$Z30="DST",'[1]LMP IN MST'!$AA30="FB",'[1]LMP IN MST'!$AB30="NOV"),'[1]LMP IN PPT'!M32,IF(AND('[1]LMP IN PPT'!$A32='[1]LMP IN MST'!$A30,'[1]LMP IN MST'!$Z30="ST",'[1]LMP IN MST'!$AA30="NORM",'[1]LMP IN MST'!$AB30="NOV"),'[1]LMP IN PPT'!M32,IF(AND('[1]LMP IN PPT'!$A32='[1]LMP IN MST'!$A30,'[1]LMP IN MST'!$Z30="DST",'[1]LMP IN MST'!$AA30="SF",'[1]LMP IN MST'!$AB30="MAR"),'[1]LMP IN PPT'!M32,IF(AND('[1]LMP IN PPT'!$A32='[1]LMP IN MST'!$A30,'[1]LMP IN MST'!$Z30="DST",'[1]LMP IN MST'!$AA30="NORM",'[1]LMP IN MST'!$AB30="NOV"),'[1]LMP IN PPT'!N32,IF(AND('[1]LMP IN PPT'!$A32='[1]LMP IN MST'!$A30,'[1]LMP IN MST'!$Z30="DST",'[1]LMP IN MST'!$AA30="NORM",OR('[1]LMP IN MST'!$AB30="MAR",'[1]LMP IN MST'!$AB30="")),'[1]LMP IN PPT'!M32,0))))))</f>
        <v>-1.5307999999999999</v>
      </c>
      <c r="K30">
        <f>IF(AND('[1]LMP IN PPT'!$A32='[1]LMP IN MST'!$A30,'[1]LMP IN MST'!$Z30="ST",'[1]LMP IN MST'!$AA30="NORM",OR('[1]LMP IN MST'!$AB30="MAR",'[1]LMP IN MST'!$AB30="")),'[1]LMP IN PPT'!M32,IF(AND('[1]LMP IN PPT'!$A32='[1]LMP IN MST'!$A30,'[1]LMP IN MST'!$Z30="DST",'[1]LMP IN MST'!$AA30="FB",'[1]LMP IN MST'!$AB30="NOV"),'[1]LMP IN PPT'!N32,IF(AND('[1]LMP IN PPT'!$A32='[1]LMP IN MST'!$A30,'[1]LMP IN MST'!$Z30="ST",'[1]LMP IN MST'!$AA30="NORM",'[1]LMP IN MST'!$AB30="NOV"),'[1]LMP IN PPT'!N32,IF(AND('[1]LMP IN PPT'!$A32='[1]LMP IN MST'!$A30,'[1]LMP IN MST'!$Z30="DST",'[1]LMP IN MST'!$AA30="SF",'[1]LMP IN MST'!$AB30="MAR"),'[1]LMP IN PPT'!N32,IF(AND('[1]LMP IN PPT'!$A32='[1]LMP IN MST'!$A30,'[1]LMP IN MST'!$Z30="DST",'[1]LMP IN MST'!$AA30="NORM",'[1]LMP IN MST'!$AB30="NOV"),'[1]LMP IN PPT'!O32,IF(AND('[1]LMP IN PPT'!$A32='[1]LMP IN MST'!$A30,'[1]LMP IN MST'!$Z30="DST",'[1]LMP IN MST'!$AA30="NORM",OR('[1]LMP IN MST'!$AB30="MAR",'[1]LMP IN MST'!$AB30="")),'[1]LMP IN PPT'!N32,0))))))</f>
        <v>-26.46152</v>
      </c>
      <c r="L30">
        <f>IF(AND('[1]LMP IN PPT'!$A32='[1]LMP IN MST'!$A30,'[1]LMP IN MST'!$Z30="ST",'[1]LMP IN MST'!$AA30="NORM",OR('[1]LMP IN MST'!$AB30="MAR",'[1]LMP IN MST'!$AB30="")),'[1]LMP IN PPT'!N32,IF(AND('[1]LMP IN PPT'!$A32='[1]LMP IN MST'!$A30,'[1]LMP IN MST'!$Z30="DST",'[1]LMP IN MST'!$AA30="FB",'[1]LMP IN MST'!$AB30="NOV"),'[1]LMP IN PPT'!O32,IF(AND('[1]LMP IN PPT'!$A32='[1]LMP IN MST'!$A30,'[1]LMP IN MST'!$Z30="ST",'[1]LMP IN MST'!$AA30="NORM",'[1]LMP IN MST'!$AB30="NOV"),'[1]LMP IN PPT'!O32,IF(AND('[1]LMP IN PPT'!$A32='[1]LMP IN MST'!$A30,'[1]LMP IN MST'!$Z30="DST",'[1]LMP IN MST'!$AA30="SF",'[1]LMP IN MST'!$AB30="MAR"),'[1]LMP IN PPT'!O32,IF(AND('[1]LMP IN PPT'!$A32='[1]LMP IN MST'!$A30,'[1]LMP IN MST'!$Z30="DST",'[1]LMP IN MST'!$AA30="NORM",'[1]LMP IN MST'!$AB30="NOV"),'[1]LMP IN PPT'!P32,IF(AND('[1]LMP IN PPT'!$A32='[1]LMP IN MST'!$A30,'[1]LMP IN MST'!$Z30="DST",'[1]LMP IN MST'!$AA30="NORM",OR('[1]LMP IN MST'!$AB30="MAR",'[1]LMP IN MST'!$AB30="")),'[1]LMP IN PPT'!O32,0))))))</f>
        <v>-38.75121</v>
      </c>
      <c r="M30">
        <f>IF(AND('[1]LMP IN PPT'!$A32='[1]LMP IN MST'!$A30,'[1]LMP IN MST'!$Z30="ST",'[1]LMP IN MST'!$AA30="NORM",OR('[1]LMP IN MST'!$AB30="MAR",'[1]LMP IN MST'!$AB30="")),'[1]LMP IN PPT'!O32,IF(AND('[1]LMP IN PPT'!$A32='[1]LMP IN MST'!$A30,'[1]LMP IN MST'!$Z30="DST",'[1]LMP IN MST'!$AA30="FB",'[1]LMP IN MST'!$AB30="NOV"),'[1]LMP IN PPT'!P32,IF(AND('[1]LMP IN PPT'!$A32='[1]LMP IN MST'!$A30,'[1]LMP IN MST'!$Z30="ST",'[1]LMP IN MST'!$AA30="NORM",'[1]LMP IN MST'!$AB30="NOV"),'[1]LMP IN PPT'!P32,IF(AND('[1]LMP IN PPT'!$A32='[1]LMP IN MST'!$A30,'[1]LMP IN MST'!$Z30="DST",'[1]LMP IN MST'!$AA30="SF",'[1]LMP IN MST'!$AB30="MAR"),'[1]LMP IN PPT'!P32,IF(AND('[1]LMP IN PPT'!$A32='[1]LMP IN MST'!$A30,'[1]LMP IN MST'!$Z30="DST",'[1]LMP IN MST'!$AA30="NORM",'[1]LMP IN MST'!$AB30="NOV"),'[1]LMP IN PPT'!Q32,IF(AND('[1]LMP IN PPT'!$A32='[1]LMP IN MST'!$A30,'[1]LMP IN MST'!$Z30="DST",'[1]LMP IN MST'!$AA30="NORM",OR('[1]LMP IN MST'!$AB30="MAR",'[1]LMP IN MST'!$AB30="")),'[1]LMP IN PPT'!P32,0))))))</f>
        <v>-40.412410000000001</v>
      </c>
      <c r="N30">
        <f>IF(AND('[1]LMP IN PPT'!$A32='[1]LMP IN MST'!$A30,'[1]LMP IN MST'!$Z30="ST",'[1]LMP IN MST'!$AA30="NORM",OR('[1]LMP IN MST'!$AB30="MAR",'[1]LMP IN MST'!$AB30="")),'[1]LMP IN PPT'!P32,IF(AND('[1]LMP IN PPT'!$A32='[1]LMP IN MST'!$A30,'[1]LMP IN MST'!$Z30="DST",'[1]LMP IN MST'!$AA30="FB",'[1]LMP IN MST'!$AB30="NOV"),'[1]LMP IN PPT'!Q32,IF(AND('[1]LMP IN PPT'!$A32='[1]LMP IN MST'!$A30,'[1]LMP IN MST'!$Z30="ST",'[1]LMP IN MST'!$AA30="NORM",'[1]LMP IN MST'!$AB30="NOV"),'[1]LMP IN PPT'!Q32,IF(AND('[1]LMP IN PPT'!$A32='[1]LMP IN MST'!$A30,'[1]LMP IN MST'!$Z30="DST",'[1]LMP IN MST'!$AA30="SF",'[1]LMP IN MST'!$AB30="MAR"),'[1]LMP IN PPT'!Q32,IF(AND('[1]LMP IN PPT'!$A32='[1]LMP IN MST'!$A30,'[1]LMP IN MST'!$Z30="DST",'[1]LMP IN MST'!$AA30="NORM",'[1]LMP IN MST'!$AB30="NOV"),'[1]LMP IN PPT'!R32,IF(AND('[1]LMP IN PPT'!$A32='[1]LMP IN MST'!$A30,'[1]LMP IN MST'!$Z30="DST",'[1]LMP IN MST'!$AA30="NORM",OR('[1]LMP IN MST'!$AB30="MAR",'[1]LMP IN MST'!$AB30="")),'[1]LMP IN PPT'!Q32,0))))))</f>
        <v>-39.541240000000002</v>
      </c>
      <c r="O30">
        <f>IF(AND('[1]LMP IN PPT'!$A32='[1]LMP IN MST'!$A30,'[1]LMP IN MST'!$Z30="ST",'[1]LMP IN MST'!$AA30="NORM",OR('[1]LMP IN MST'!$AB30="MAR",'[1]LMP IN MST'!$AB30="")),'[1]LMP IN PPT'!Q32,IF(AND('[1]LMP IN PPT'!$A32='[1]LMP IN MST'!$A30,'[1]LMP IN MST'!$Z30="DST",'[1]LMP IN MST'!$AA30="FB",'[1]LMP IN MST'!$AB30="NOV"),'[1]LMP IN PPT'!R32,IF(AND('[1]LMP IN PPT'!$A32='[1]LMP IN MST'!$A30,'[1]LMP IN MST'!$Z30="ST",'[1]LMP IN MST'!$AA30="NORM",'[1]LMP IN MST'!$AB30="NOV"),'[1]LMP IN PPT'!R32,IF(AND('[1]LMP IN PPT'!$A32='[1]LMP IN MST'!$A30,'[1]LMP IN MST'!$Z30="DST",'[1]LMP IN MST'!$AA30="SF",'[1]LMP IN MST'!$AB30="MAR"),'[1]LMP IN PPT'!R32,IF(AND('[1]LMP IN PPT'!$A32='[1]LMP IN MST'!$A30,'[1]LMP IN MST'!$Z30="DST",'[1]LMP IN MST'!$AA30="NORM",'[1]LMP IN MST'!$AB30="NOV"),'[1]LMP IN PPT'!S32,IF(AND('[1]LMP IN PPT'!$A32='[1]LMP IN MST'!$A30,'[1]LMP IN MST'!$Z30="DST",'[1]LMP IN MST'!$AA30="NORM",OR('[1]LMP IN MST'!$AB30="MAR",'[1]LMP IN MST'!$AB30="")),'[1]LMP IN PPT'!R32,0))))))</f>
        <v>-40.113810000000001</v>
      </c>
      <c r="P30">
        <f>IF(AND('[1]LMP IN PPT'!$A32='[1]LMP IN MST'!$A30,'[1]LMP IN MST'!$Z30="ST",'[1]LMP IN MST'!$AA30="NORM",OR('[1]LMP IN MST'!$AB30="MAR",'[1]LMP IN MST'!$AB30="")),'[1]LMP IN PPT'!R32,IF(AND('[1]LMP IN PPT'!$A32='[1]LMP IN MST'!$A30,'[1]LMP IN MST'!$Z30="DST",'[1]LMP IN MST'!$AA30="FB",'[1]LMP IN MST'!$AB30="NOV"),'[1]LMP IN PPT'!S32,IF(AND('[1]LMP IN PPT'!$A32='[1]LMP IN MST'!$A30,'[1]LMP IN MST'!$Z30="ST",'[1]LMP IN MST'!$AA30="NORM",'[1]LMP IN MST'!$AB30="NOV"),'[1]LMP IN PPT'!S32,IF(AND('[1]LMP IN PPT'!$A32='[1]LMP IN MST'!$A30,'[1]LMP IN MST'!$Z30="DST",'[1]LMP IN MST'!$AA30="SF",'[1]LMP IN MST'!$AB30="MAR"),'[1]LMP IN PPT'!S32,IF(AND('[1]LMP IN PPT'!$A32='[1]LMP IN MST'!$A30,'[1]LMP IN MST'!$Z30="DST",'[1]LMP IN MST'!$AA30="NORM",'[1]LMP IN MST'!$AB30="NOV"),'[1]LMP IN PPT'!T32,IF(AND('[1]LMP IN PPT'!$A32='[1]LMP IN MST'!$A30,'[1]LMP IN MST'!$Z30="DST",'[1]LMP IN MST'!$AA30="NORM",OR('[1]LMP IN MST'!$AB30="MAR",'[1]LMP IN MST'!$AB30="")),'[1]LMP IN PPT'!S32,0))))))</f>
        <v>-39.977620000000002</v>
      </c>
      <c r="Q30">
        <f>IF(AND('[1]LMP IN PPT'!$A32='[1]LMP IN MST'!$A30,'[1]LMP IN MST'!$Z30="ST",'[1]LMP IN MST'!$AA30="NORM",OR('[1]LMP IN MST'!$AB30="MAR",'[1]LMP IN MST'!$AB30="")),'[1]LMP IN PPT'!S32,IF(AND('[1]LMP IN PPT'!$A32='[1]LMP IN MST'!$A30,'[1]LMP IN MST'!$Z30="DST",'[1]LMP IN MST'!$AA30="FB",'[1]LMP IN MST'!$AB30="NOV"),'[1]LMP IN PPT'!T32,IF(AND('[1]LMP IN PPT'!$A32='[1]LMP IN MST'!$A30,'[1]LMP IN MST'!$Z30="ST",'[1]LMP IN MST'!$AA30="NORM",'[1]LMP IN MST'!$AB30="NOV"),'[1]LMP IN PPT'!T32,IF(AND('[1]LMP IN PPT'!$A32='[1]LMP IN MST'!$A30,'[1]LMP IN MST'!$Z30="DST",'[1]LMP IN MST'!$AA30="SF",'[1]LMP IN MST'!$AB30="MAR"),'[1]LMP IN PPT'!T32,IF(AND('[1]LMP IN PPT'!$A32='[1]LMP IN MST'!$A30,'[1]LMP IN MST'!$Z30="DST",'[1]LMP IN MST'!$AA30="NORM",'[1]LMP IN MST'!$AB30="NOV"),'[1]LMP IN PPT'!U32,IF(AND('[1]LMP IN PPT'!$A32='[1]LMP IN MST'!$A30,'[1]LMP IN MST'!$Z30="DST",'[1]LMP IN MST'!$AA30="NORM",OR('[1]LMP IN MST'!$AB30="MAR",'[1]LMP IN MST'!$AB30="")),'[1]LMP IN PPT'!T32,0))))))</f>
        <v>-40.313510000000001</v>
      </c>
      <c r="R30">
        <f>IF(AND('[1]LMP IN PPT'!$A32='[1]LMP IN MST'!$A30,'[1]LMP IN MST'!$Z30="ST",'[1]LMP IN MST'!$AA30="NORM",OR('[1]LMP IN MST'!$AB30="MAR",'[1]LMP IN MST'!$AB30="")),'[1]LMP IN PPT'!T32,IF(AND('[1]LMP IN PPT'!$A32='[1]LMP IN MST'!$A30,'[1]LMP IN MST'!$Z30="DST",'[1]LMP IN MST'!$AA30="FB",'[1]LMP IN MST'!$AB30="NOV"),'[1]LMP IN PPT'!U32,IF(AND('[1]LMP IN PPT'!$A32='[1]LMP IN MST'!$A30,'[1]LMP IN MST'!$Z30="ST",'[1]LMP IN MST'!$AA30="NORM",'[1]LMP IN MST'!$AB30="NOV"),'[1]LMP IN PPT'!U32,IF(AND('[1]LMP IN PPT'!$A32='[1]LMP IN MST'!$A30,'[1]LMP IN MST'!$Z30="DST",'[1]LMP IN MST'!$AA30="SF",'[1]LMP IN MST'!$AB30="MAR"),'[1]LMP IN PPT'!U32,IF(AND('[1]LMP IN PPT'!$A32='[1]LMP IN MST'!$A30,'[1]LMP IN MST'!$Z30="DST",'[1]LMP IN MST'!$AA30="NORM",'[1]LMP IN MST'!$AB30="NOV"),'[1]LMP IN PPT'!V32,IF(AND('[1]LMP IN PPT'!$A32='[1]LMP IN MST'!$A30,'[1]LMP IN MST'!$Z30="DST",'[1]LMP IN MST'!$AA30="NORM",OR('[1]LMP IN MST'!$AB30="MAR",'[1]LMP IN MST'!$AB30="")),'[1]LMP IN PPT'!U32,0))))))</f>
        <v>-28.497869999999999</v>
      </c>
      <c r="S30">
        <f>IF(AND('[1]LMP IN PPT'!$A32='[1]LMP IN MST'!$A30,'[1]LMP IN MST'!$Z30="ST",'[1]LMP IN MST'!$AA30="NORM",OR('[1]LMP IN MST'!$AB30="MAR",'[1]LMP IN MST'!$AB30="")),'[1]LMP IN PPT'!U32,IF(AND('[1]LMP IN PPT'!$A32='[1]LMP IN MST'!$A30,'[1]LMP IN MST'!$Z30="DST",'[1]LMP IN MST'!$AA30="FB",'[1]LMP IN MST'!$AB30="NOV"),'[1]LMP IN PPT'!V32,IF(AND('[1]LMP IN PPT'!$A32='[1]LMP IN MST'!$A30,'[1]LMP IN MST'!$Z30="ST",'[1]LMP IN MST'!$AA30="NORM",'[1]LMP IN MST'!$AB30="NOV"),'[1]LMP IN PPT'!V32,IF(AND('[1]LMP IN PPT'!$A32='[1]LMP IN MST'!$A30,'[1]LMP IN MST'!$Z30="DST",'[1]LMP IN MST'!$AA30="SF",'[1]LMP IN MST'!$AB30="MAR"),'[1]LMP IN PPT'!V32,IF(AND('[1]LMP IN PPT'!$A32='[1]LMP IN MST'!$A30,'[1]LMP IN MST'!$Z30="DST",'[1]LMP IN MST'!$AA30="NORM",'[1]LMP IN MST'!$AB30="NOV"),'[1]LMP IN PPT'!W32,IF(AND('[1]LMP IN PPT'!$A32='[1]LMP IN MST'!$A30,'[1]LMP IN MST'!$Z30="DST",'[1]LMP IN MST'!$AA30="NORM",OR('[1]LMP IN MST'!$AB30="MAR",'[1]LMP IN MST'!$AB30="")),'[1]LMP IN PPT'!V32,0))))))</f>
        <v>16.63139</v>
      </c>
      <c r="T30">
        <f>IF(AND('[1]LMP IN PPT'!$A32='[1]LMP IN MST'!$A30,'[1]LMP IN MST'!$Z30="ST",'[1]LMP IN MST'!$AA30="NORM",OR('[1]LMP IN MST'!$AB30="MAR",'[1]LMP IN MST'!$AB30="")),'[1]LMP IN PPT'!V32,IF(AND('[1]LMP IN PPT'!$A32='[1]LMP IN MST'!$A30,'[1]LMP IN MST'!$Z30="DST",'[1]LMP IN MST'!$AA30="FB",'[1]LMP IN MST'!$AB30="NOV"),'[1]LMP IN PPT'!W32,IF(AND('[1]LMP IN PPT'!$A32='[1]LMP IN MST'!$A30,'[1]LMP IN MST'!$Z30="ST",'[1]LMP IN MST'!$AA30="NORM",'[1]LMP IN MST'!$AB30="NOV"),'[1]LMP IN PPT'!W32,IF(AND('[1]LMP IN PPT'!$A32='[1]LMP IN MST'!$A30,'[1]LMP IN MST'!$Z30="DST",'[1]LMP IN MST'!$AA30="SF",'[1]LMP IN MST'!$AB30="MAR"),'[1]LMP IN PPT'!W32,IF(AND('[1]LMP IN PPT'!$A32='[1]LMP IN MST'!$A30,'[1]LMP IN MST'!$Z30="DST",'[1]LMP IN MST'!$AA30="NORM",'[1]LMP IN MST'!$AB30="NOV"),'[1]LMP IN PPT'!X32,IF(AND('[1]LMP IN PPT'!$A32='[1]LMP IN MST'!$A30,'[1]LMP IN MST'!$Z30="DST",'[1]LMP IN MST'!$AA30="NORM",OR('[1]LMP IN MST'!$AB30="MAR",'[1]LMP IN MST'!$AB30="")),'[1]LMP IN PPT'!W32,0))))))</f>
        <v>33.22</v>
      </c>
      <c r="U30">
        <f>IF(AND('[1]LMP IN PPT'!$A32='[1]LMP IN MST'!$A30,'[1]LMP IN MST'!$Z30="ST",'[1]LMP IN MST'!$AA30="NORM",OR('[1]LMP IN MST'!$AB30="MAR",'[1]LMP IN MST'!$AB30="")),'[1]LMP IN PPT'!W32,IF(AND('[1]LMP IN PPT'!$A32='[1]LMP IN MST'!$A30,'[1]LMP IN MST'!$Z30="DST",'[1]LMP IN MST'!$AA30="FB",'[1]LMP IN MST'!$AB30="NOV"),'[1]LMP IN PPT'!X32,IF(AND('[1]LMP IN PPT'!$A32='[1]LMP IN MST'!$A30,'[1]LMP IN MST'!$Z30="ST",'[1]LMP IN MST'!$AA30="NORM",'[1]LMP IN MST'!$AB30="NOV"),'[1]LMP IN PPT'!X32,IF(AND('[1]LMP IN PPT'!$A32='[1]LMP IN MST'!$A30,'[1]LMP IN MST'!$Z30="DST",'[1]LMP IN MST'!$AA30="SF",'[1]LMP IN MST'!$AB30="MAR"),'[1]LMP IN PPT'!X32,IF(AND('[1]LMP IN PPT'!$A32='[1]LMP IN MST'!$A30,'[1]LMP IN MST'!$Z30="DST",'[1]LMP IN MST'!$AA30="NORM",'[1]LMP IN MST'!$AB30="NOV"),'[1]LMP IN PPT'!Y32,IF(AND('[1]LMP IN PPT'!$A32='[1]LMP IN MST'!$A30,'[1]LMP IN MST'!$Z30="DST",'[1]LMP IN MST'!$AA30="NORM",OR('[1]LMP IN MST'!$AB30="MAR",'[1]LMP IN MST'!$AB30="")),'[1]LMP IN PPT'!X32,0))))))</f>
        <v>36.636789999999998</v>
      </c>
      <c r="V30">
        <f>IF(AND('[1]LMP IN PPT'!$A32='[1]LMP IN MST'!$A30,'[1]LMP IN MST'!$Z30="ST",'[1]LMP IN MST'!$AA30="NORM",OR('[1]LMP IN MST'!$AB30="MAR",'[1]LMP IN MST'!$AB30="")),'[1]LMP IN PPT'!X32,IF(AND('[1]LMP IN PPT'!$A32='[1]LMP IN MST'!$A30,'[1]LMP IN MST'!$Z30="DST",'[1]LMP IN MST'!$AA30="FB",'[1]LMP IN MST'!$AB30="NOV"),'[1]LMP IN PPT'!Y32,IF(AND('[1]LMP IN PPT'!$A32='[1]LMP IN MST'!$A30,'[1]LMP IN MST'!$Z30="ST",'[1]LMP IN MST'!$AA30="NORM",'[1]LMP IN MST'!$AB30="NOV"),'[1]LMP IN PPT'!Y32,IF(AND('[1]LMP IN PPT'!$A32='[1]LMP IN MST'!$A30,'[1]LMP IN MST'!$Z30="DST",'[1]LMP IN MST'!$AA30="SF",'[1]LMP IN MST'!$AB30="MAR"),'[1]LMP IN PPT'!Y32,IF(AND('[1]LMP IN PPT'!$A32='[1]LMP IN MST'!$A30,'[1]LMP IN MST'!$Z30="DST",'[1]LMP IN MST'!$AA30="NORM",'[1]LMP IN MST'!$AB30="NOV"),'[1]LMP IN PPT'!Z32,IF(AND('[1]LMP IN PPT'!$A32='[1]LMP IN MST'!$A30,'[1]LMP IN MST'!$Z30="DST",'[1]LMP IN MST'!$AA30="NORM",OR('[1]LMP IN MST'!$AB30="MAR",'[1]LMP IN MST'!$AB30="")),'[1]LMP IN PPT'!Y32,0))))))</f>
        <v>35.743160000000003</v>
      </c>
      <c r="W30">
        <f>IF(AND('[1]LMP IN PPT'!$A32='[1]LMP IN MST'!$A30,'[1]LMP IN MST'!$Z30="ST",'[1]LMP IN MST'!$AA30="NORM",OR('[1]LMP IN MST'!$AB30="MAR",'[1]LMP IN MST'!$AB30="")),'[1]LMP IN PPT'!Y32,IF(AND('[1]LMP IN PPT'!$A32='[1]LMP IN MST'!$A30,'[1]LMP IN MST'!$Z30="DST",'[1]LMP IN MST'!$AA30="FB",'[1]LMP IN MST'!$AB30="NOV"),'[1]LMP IN PPT'!Z32,IF(AND('[1]LMP IN PPT'!$A32='[1]LMP IN MST'!$A30,'[1]LMP IN MST'!$Z30="ST",'[1]LMP IN MST'!$AA30="NORM",'[1]LMP IN MST'!$AB30="NOV"),'[1]LMP IN PPT'!Z32,IF(AND('[1]LMP IN PPT'!$A32='[1]LMP IN MST'!$A30,'[1]LMP IN MST'!$Z30="DST",'[1]LMP IN MST'!$AA30="SF",'[1]LMP IN MST'!$AB30="MAR"),'[1]LMP IN PPT'!Z32,IF(AND('[1]LMP IN PPT'!$A32='[1]LMP IN MST'!$A30,'[1]LMP IN MST'!$Z30="DST",'[1]LMP IN MST'!$AA30="NORM",'[1]LMP IN MST'!$AB30="NOV"),'[1]LMP IN PPT'!AA32,IF(AND('[1]LMP IN PPT'!$A32='[1]LMP IN MST'!$A30,'[1]LMP IN MST'!$Z30="DST",'[1]LMP IN MST'!$AA30="NORM",OR('[1]LMP IN MST'!$AB30="MAR",'[1]LMP IN MST'!$AB30="")),'[1]LMP IN PPT'!Z32,0))))))</f>
        <v>33.22</v>
      </c>
      <c r="X30">
        <f>IF(AND('[1]LMP IN PPT'!$A32='[1]LMP IN MST'!$A30,'[1]LMP IN MST'!$Z30="ST",'[1]LMP IN MST'!$AA30="NORM",OR('[1]LMP IN MST'!$AB30="MAR",'[1]LMP IN MST'!$AB30="")),'[1]LMP IN PPT'!Z32,IF(AND('[1]LMP IN PPT'!$A32='[1]LMP IN MST'!$A30,'[1]LMP IN MST'!$Z30="DST",'[1]LMP IN MST'!$AA30="FB",'[1]LMP IN MST'!$AB30="NOV"),'[1]LMP IN PPT'!AA32,IF(AND('[1]LMP IN PPT'!$A32='[1]LMP IN MST'!$A30,'[1]LMP IN MST'!$Z30="ST",'[1]LMP IN MST'!$AA30="NORM",'[1]LMP IN MST'!$AB30="NOV"),'[1]LMP IN PPT'!AA32,IF(AND('[1]LMP IN PPT'!$A32='[1]LMP IN MST'!$A30,'[1]LMP IN MST'!$Z30="DST",'[1]LMP IN MST'!$AA30="SF",'[1]LMP IN MST'!$AB30="MAR"),'[1]LMP IN PPT'!AA32,IF(AND('[1]LMP IN PPT'!$A32='[1]LMP IN MST'!$A30,'[1]LMP IN MST'!$Z30="DST",'[1]LMP IN MST'!$AA30="NORM",'[1]LMP IN MST'!$AB30="NOV"),'[1]LMP IN PPT'!AB32,IF(AND('[1]LMP IN PPT'!$A32='[1]LMP IN MST'!$A30,'[1]LMP IN MST'!$Z30="DST",'[1]LMP IN MST'!$AA30="NORM",OR('[1]LMP IN MST'!$AB30="MAR",'[1]LMP IN MST'!$AB30="")),'[1]LMP IN PPT'!AA32,0))))))</f>
        <v>29.596360000000001</v>
      </c>
      <c r="Y30">
        <f>IF(AND('[1]LMP IN PPT'!$A32='[1]LMP IN MST'!$A30,'[1]LMP IN MST'!$Z30="ST",'[1]LMP IN MST'!$AA30="NORM",OR('[1]LMP IN MST'!$AB30="MAR",'[1]LMP IN MST'!$AB30="")),'[1]LMP IN PPT'!AA32,IF(AND('[1]LMP IN PPT'!$A32='[1]LMP IN MST'!$A30,'[1]LMP IN MST'!$Z30="DST",'[1]LMP IN MST'!$AA30="FB",'[1]LMP IN MST'!$AB30="NOV"),'[1]LMP IN PPT'!AB32,IF(AND('[1]LMP IN PPT'!$A32='[1]LMP IN MST'!$A30,'[1]LMP IN MST'!$Z30="ST",'[1]LMP IN MST'!$AA30="NORM",'[1]LMP IN MST'!$AB30="NOV"),'[1]LMP IN PPT'!AB32,IF(AND('[1]LMP IN PPT'!$A32='[1]LMP IN MST'!$A30,'[1]LMP IN MST'!$Z30="DST",'[1]LMP IN MST'!$AA30="SF",'[1]LMP IN MST'!$AB30="MAR"),'[1]LMP IN PPT'!AB32,IF(AND('[1]LMP IN PPT'!$A32='[1]LMP IN MST'!$A30,'[1]LMP IN MST'!$Z30="DST",'[1]LMP IN MST'!$AA30="NORM",'[1]LMP IN MST'!$AB30="NOV"),'[1]LMP IN PPT'!AC32,IF(AND('[1]LMP IN PPT'!$A32='[1]LMP IN MST'!$A30,'[1]LMP IN MST'!$Z30="DST",'[1]LMP IN MST'!$AA30="NORM",OR('[1]LMP IN MST'!$AB30="MAR",'[1]LMP IN MST'!$AB30="")),'[1]LMP IN PPT'!AB32,0))))))</f>
        <v>28.44042</v>
      </c>
    </row>
    <row r="31" spans="1:25" x14ac:dyDescent="0.3">
      <c r="A31" s="1">
        <f t="shared" si="0"/>
        <v>45381</v>
      </c>
      <c r="B31">
        <f>IF(AND('[1]LMP IN PPT'!$A33='[1]LMP IN MST'!$A31,'[1]LMP IN MST'!$Z31="ST",'[1]LMP IN MST'!$AA31="NORM",'[1]LMP IN MST'!$AB31="NOV"),'[1]LMP IN PPT'!AC32,IF(AND('[1]LMP IN PPT'!$A33='[1]LMP IN MST'!$A31,'[1]LMP IN MST'!$Z31="ST",'[1]LMP IN MST'!$AA31="NORM",'[1]LMP IN MST'!$AB31="MAR"),'[1]LMP IN PPT'!AB32,IF(AND('[1]LMP IN PPT'!$A33='[1]LMP IN MST'!$A31,'[1]LMP IN MST'!$Z31="ST",'[1]LMP IN MST'!$AA31="NORM",'[1]LMP IN MST'!$AB31=""),'[1]LMP IN PPT'!AB32,IF(AND('[1]LMP IN PPT'!$A33='[1]LMP IN MST'!$A31,'[1]LMP IN MST'!$Z31="DST",'[1]LMP IN MST'!$AA31="FB",'[1]LMP IN MST'!$AB31="NOV"),'[1]LMP IN PPT'!E33,IF(AND('[1]LMP IN PPT'!$A33='[1]LMP IN MST'!$A31,'[1]LMP IN MST'!$Z31="DST",'[1]LMP IN MST'!$AA31="SF",'[1]LMP IN MST'!$AB31="MAR"),'[1]LMP IN PPT'!AB32,IF(AND('[1]LMP IN PPT'!$A33='[1]LMP IN MST'!$A31,'[1]LMP IN MST'!$Z31="DST",'[1]LMP IN MST'!$AA31="NORM",OR('[1]LMP IN MST'!$AB31="MAR",'[1]LMP IN MST'!$AB31="",'[1]LMP IN MST'!$AB31="NOV")),'[1]LMP IN PPT'!E33,0))))))</f>
        <v>35.561979999999998</v>
      </c>
      <c r="C31">
        <f>IF(AND('[1]LMP IN PPT'!$A33='[1]LMP IN MST'!$A31,'[1]LMP IN MST'!$Z31="ST",'[1]LMP IN MST'!$AA31="NORM",OR('[1]LMP IN MST'!$AB31="NOV",'[1]LMP IN MST'!$AB31="MAR",'[1]LMP IN MST'!$AB31="")),'[1]LMP IN PPT'!E33,IF(AND('[1]LMP IN PPT'!$A33='[1]LMP IN MST'!$A31,'[1]LMP IN MST'!$Z31="DST",'[1]LMP IN MST'!$AA31="FB",'[1]LMP IN MST'!$AB31="NOV"),'[1]LMP IN PPT'!F33,IF(AND('[1]LMP IN PPT'!$A33='[1]LMP IN MST'!$A31,'[1]LMP IN MST'!$Z31="DST",'[1]LMP IN MST'!$AA31="SF",'[1]LMP IN MST'!$AB31="MAR"),'[1]LMP IN PPT'!E33,IF(AND('[1]LMP IN PPT'!$A33='[1]LMP IN MST'!$A31,'[1]LMP IN MST'!$Z31="DST",'[1]LMP IN MST'!$AA31="NORM",OR('[1]LMP IN MST'!$AB31="MAR",'[1]LMP IN MST'!$AB31="",'[1]LMP IN MST'!$AB31="NOV")),'[1]LMP IN PPT'!F33,0))))</f>
        <v>33.209240000000001</v>
      </c>
      <c r="D31">
        <f>IF(AND('[1]LMP IN PPT'!$A33='[1]LMP IN MST'!$A31,'[1]LMP IN MST'!$Z31="ST",'[1]LMP IN MST'!$AA31="NORM",OR('[1]LMP IN MST'!$AB31="NOV",'[1]LMP IN MST'!$AB31="MAR",'[1]LMP IN MST'!$AB31="")),'[1]LMP IN PPT'!F33,IF(AND('[1]LMP IN PPT'!$A33='[1]LMP IN MST'!$A31,'[1]LMP IN MST'!$Z31="DST",'[1]LMP IN MST'!$AA31="FB",'[1]LMP IN MST'!$AB31="NOV"),'[1]LMP IN PPT'!G33,IF(AND('[1]LMP IN PPT'!$A33='[1]LMP IN MST'!$A31,'[1]LMP IN MST'!$Z31="DST",'[1]LMP IN MST'!$AA31="SF",'[1]LMP IN MST'!$AB31="MAR"),'[1]LMP IN PPT'!F33,IF(AND('[1]LMP IN PPT'!$A33='[1]LMP IN MST'!$A31,'[1]LMP IN MST'!$Z31="DST",'[1]LMP IN MST'!$AA31="NORM",'[1]LMP IN MST'!$AB31="NOV"),'[1]LMP IN PPT'!H33,IF(AND('[1]LMP IN PPT'!$A33='[1]LMP IN MST'!$A31,'[1]LMP IN MST'!$Z31="DST",'[1]LMP IN MST'!$AA31="NORM",OR('[1]LMP IN MST'!$AB31="MAR",'[1]LMP IN MST'!$AB31="")),'[1]LMP IN PPT'!G33,0)))))</f>
        <v>30.927510000000002</v>
      </c>
      <c r="E31">
        <f>IF(AND('[1]LMP IN PPT'!$A33='[1]LMP IN MST'!$A31,'[1]LMP IN MST'!$Z31="ST",'[1]LMP IN MST'!$AA31="NORM",OR('[1]LMP IN MST'!$AB31="MAR",'[1]LMP IN MST'!$AB31="")),'[1]LMP IN PPT'!G33,IF(AND('[1]LMP IN PPT'!$A33='[1]LMP IN MST'!$A31,'[1]LMP IN MST'!$Z31="DST",'[1]LMP IN MST'!$AA31="FB",'[1]LMP IN MST'!$AB31="NOV"),'[1]LMP IN PPT'!H33,IF(AND('[1]LMP IN PPT'!$A33='[1]LMP IN MST'!$A31,'[1]LMP IN MST'!$Z31="ST",'[1]LMP IN MST'!$AA31="NORM",'[1]LMP IN MST'!$AB31="NOV"),'[1]LMP IN PPT'!H33,IF(AND('[1]LMP IN PPT'!$A33='[1]LMP IN MST'!$A31,'[1]LMP IN MST'!$Z31="DST",'[1]LMP IN MST'!$AA31="SF",'[1]LMP IN MST'!$AB31="MAR"),'[1]LMP IN PPT'!H33,IF(AND('[1]LMP IN PPT'!$A33='[1]LMP IN MST'!$A31,'[1]LMP IN MST'!$Z31="DST",'[1]LMP IN MST'!$AA31="NORM",'[1]LMP IN MST'!$AB31="NOV"),'[1]LMP IN PPT'!I33,IF(AND('[1]LMP IN PPT'!$A33='[1]LMP IN MST'!$A31,'[1]LMP IN MST'!$Z31="DST",'[1]LMP IN MST'!$AA31="NORM",OR('[1]LMP IN MST'!$AB31="MAR",'[1]LMP IN MST'!$AB31="")),'[1]LMP IN PPT'!H33,0))))))</f>
        <v>32.028750000000002</v>
      </c>
      <c r="F31">
        <f>IF(AND('[1]LMP IN PPT'!$A33='[1]LMP IN MST'!$A31,'[1]LMP IN MST'!$Z31="ST",'[1]LMP IN MST'!$AA31="NORM",OR('[1]LMP IN MST'!$AB31="MAR",'[1]LMP IN MST'!$AB31="")),'[1]LMP IN PPT'!H33,IF(AND('[1]LMP IN PPT'!$A33='[1]LMP IN MST'!$A31,'[1]LMP IN MST'!$Z31="DST",'[1]LMP IN MST'!$AA31="FB",'[1]LMP IN MST'!$AB31="NOV"),'[1]LMP IN PPT'!I33,IF(AND('[1]LMP IN PPT'!$A33='[1]LMP IN MST'!$A31,'[1]LMP IN MST'!$Z31="ST",'[1]LMP IN MST'!$AA31="NORM",'[1]LMP IN MST'!$AB31="NOV"),'[1]LMP IN PPT'!I33,IF(AND('[1]LMP IN PPT'!$A33='[1]LMP IN MST'!$A31,'[1]LMP IN MST'!$Z31="DST",'[1]LMP IN MST'!$AA31="SF",'[1]LMP IN MST'!$AB31="MAR"),'[1]LMP IN PPT'!I33,IF(AND('[1]LMP IN PPT'!$A33='[1]LMP IN MST'!$A31,'[1]LMP IN MST'!$Z31="DST",'[1]LMP IN MST'!$AA31="NORM",'[1]LMP IN MST'!$AB31="NOV"),'[1]LMP IN PPT'!J33,IF(AND('[1]LMP IN PPT'!$A33='[1]LMP IN MST'!$A31,'[1]LMP IN MST'!$Z31="DST",'[1]LMP IN MST'!$AA31="NORM",OR('[1]LMP IN MST'!$AB31="MAR",'[1]LMP IN MST'!$AB31="")),'[1]LMP IN PPT'!I33,0))))))</f>
        <v>30.984839999999998</v>
      </c>
      <c r="G31">
        <f>IF(AND('[1]LMP IN PPT'!$A33='[1]LMP IN MST'!$A31,'[1]LMP IN MST'!$Z31="ST",'[1]LMP IN MST'!$AA31="NORM",OR('[1]LMP IN MST'!$AB31="MAR",'[1]LMP IN MST'!$AB31="")),'[1]LMP IN PPT'!I33,IF(AND('[1]LMP IN PPT'!$A33='[1]LMP IN MST'!$A31,'[1]LMP IN MST'!$Z31="DST",'[1]LMP IN MST'!$AA31="FB",'[1]LMP IN MST'!$AB31="NOV"),'[1]LMP IN PPT'!J33,IF(AND('[1]LMP IN PPT'!$A33='[1]LMP IN MST'!$A31,'[1]LMP IN MST'!$Z31="ST",'[1]LMP IN MST'!$AA31="NORM",'[1]LMP IN MST'!$AB31="NOV"),'[1]LMP IN PPT'!J33,IF(AND('[1]LMP IN PPT'!$A33='[1]LMP IN MST'!$A31,'[1]LMP IN MST'!$Z31="DST",'[1]LMP IN MST'!$AA31="SF",'[1]LMP IN MST'!$AB31="MAR"),'[1]LMP IN PPT'!J33,IF(AND('[1]LMP IN PPT'!$A33='[1]LMP IN MST'!$A31,'[1]LMP IN MST'!$Z31="DST",'[1]LMP IN MST'!$AA31="NORM",'[1]LMP IN MST'!$AB31="NOV"),'[1]LMP IN PPT'!K33,IF(AND('[1]LMP IN PPT'!$A33='[1]LMP IN MST'!$A31,'[1]LMP IN MST'!$Z31="DST",'[1]LMP IN MST'!$AA31="NORM",OR('[1]LMP IN MST'!$AB31="MAR",'[1]LMP IN MST'!$AB31="")),'[1]LMP IN PPT'!J33,0))))))</f>
        <v>38.49783</v>
      </c>
      <c r="H31">
        <f>IF(AND('[1]LMP IN PPT'!$A33='[1]LMP IN MST'!$A31,'[1]LMP IN MST'!$Z31="ST",'[1]LMP IN MST'!$AA31="NORM",OR('[1]LMP IN MST'!$AB31="MAR",'[1]LMP IN MST'!$AB31="")),'[1]LMP IN PPT'!J33,IF(AND('[1]LMP IN PPT'!$A33='[1]LMP IN MST'!$A31,'[1]LMP IN MST'!$Z31="DST",'[1]LMP IN MST'!$AA31="FB",'[1]LMP IN MST'!$AB31="NOV"),'[1]LMP IN PPT'!K33,IF(AND('[1]LMP IN PPT'!$A33='[1]LMP IN MST'!$A31,'[1]LMP IN MST'!$Z31="ST",'[1]LMP IN MST'!$AA31="NORM",'[1]LMP IN MST'!$AB31="NOV"),'[1]LMP IN PPT'!K33,IF(AND('[1]LMP IN PPT'!$A33='[1]LMP IN MST'!$A31,'[1]LMP IN MST'!$Z31="DST",'[1]LMP IN MST'!$AA31="SF",'[1]LMP IN MST'!$AB31="MAR"),'[1]LMP IN PPT'!K33,IF(AND('[1]LMP IN PPT'!$A33='[1]LMP IN MST'!$A31,'[1]LMP IN MST'!$Z31="DST",'[1]LMP IN MST'!$AA31="NORM",'[1]LMP IN MST'!$AB31="NOV"),'[1]LMP IN PPT'!L33,IF(AND('[1]LMP IN PPT'!$A33='[1]LMP IN MST'!$A31,'[1]LMP IN MST'!$Z31="DST",'[1]LMP IN MST'!$AA31="NORM",OR('[1]LMP IN MST'!$AB31="MAR",'[1]LMP IN MST'!$AB31="")),'[1]LMP IN PPT'!K33,0))))))</f>
        <v>39.01688</v>
      </c>
      <c r="I31">
        <f>IF(AND('[1]LMP IN PPT'!$A33='[1]LMP IN MST'!$A31,'[1]LMP IN MST'!$Z31="ST",'[1]LMP IN MST'!$AA31="NORM",OR('[1]LMP IN MST'!$AB31="MAR",'[1]LMP IN MST'!$AB31="")),'[1]LMP IN PPT'!K33,IF(AND('[1]LMP IN PPT'!$A33='[1]LMP IN MST'!$A31,'[1]LMP IN MST'!$Z31="DST",'[1]LMP IN MST'!$AA31="FB",'[1]LMP IN MST'!$AB31="NOV"),'[1]LMP IN PPT'!L33,IF(AND('[1]LMP IN PPT'!$A33='[1]LMP IN MST'!$A31,'[1]LMP IN MST'!$Z31="ST",'[1]LMP IN MST'!$AA31="NORM",'[1]LMP IN MST'!$AB31="NOV"),'[1]LMP IN PPT'!L33,IF(AND('[1]LMP IN PPT'!$A33='[1]LMP IN MST'!$A31,'[1]LMP IN MST'!$Z31="DST",'[1]LMP IN MST'!$AA31="SF",'[1]LMP IN MST'!$AB31="MAR"),'[1]LMP IN PPT'!L33,IF(AND('[1]LMP IN PPT'!$A33='[1]LMP IN MST'!$A31,'[1]LMP IN MST'!$Z31="DST",'[1]LMP IN MST'!$AA31="NORM",'[1]LMP IN MST'!$AB31="NOV"),'[1]LMP IN PPT'!M33,IF(AND('[1]LMP IN PPT'!$A33='[1]LMP IN MST'!$A31,'[1]LMP IN MST'!$Z31="DST",'[1]LMP IN MST'!$AA31="NORM",OR('[1]LMP IN MST'!$AB31="MAR",'[1]LMP IN MST'!$AB31="")),'[1]LMP IN PPT'!L33,0))))))</f>
        <v>33.877679999999998</v>
      </c>
      <c r="J31">
        <f>IF(AND('[1]LMP IN PPT'!$A33='[1]LMP IN MST'!$A31,'[1]LMP IN MST'!$Z31="ST",'[1]LMP IN MST'!$AA31="NORM",OR('[1]LMP IN MST'!$AB31="MAR",'[1]LMP IN MST'!$AB31="")),'[1]LMP IN PPT'!L33,IF(AND('[1]LMP IN PPT'!$A33='[1]LMP IN MST'!$A31,'[1]LMP IN MST'!$Z31="DST",'[1]LMP IN MST'!$AA31="FB",'[1]LMP IN MST'!$AB31="NOV"),'[1]LMP IN PPT'!M33,IF(AND('[1]LMP IN PPT'!$A33='[1]LMP IN MST'!$A31,'[1]LMP IN MST'!$Z31="ST",'[1]LMP IN MST'!$AA31="NORM",'[1]LMP IN MST'!$AB31="NOV"),'[1]LMP IN PPT'!M33,IF(AND('[1]LMP IN PPT'!$A33='[1]LMP IN MST'!$A31,'[1]LMP IN MST'!$Z31="DST",'[1]LMP IN MST'!$AA31="SF",'[1]LMP IN MST'!$AB31="MAR"),'[1]LMP IN PPT'!M33,IF(AND('[1]LMP IN PPT'!$A33='[1]LMP IN MST'!$A31,'[1]LMP IN MST'!$Z31="DST",'[1]LMP IN MST'!$AA31="NORM",'[1]LMP IN MST'!$AB31="NOV"),'[1]LMP IN PPT'!N33,IF(AND('[1]LMP IN PPT'!$A33='[1]LMP IN MST'!$A31,'[1]LMP IN MST'!$Z31="DST",'[1]LMP IN MST'!$AA31="NORM",OR('[1]LMP IN MST'!$AB31="MAR",'[1]LMP IN MST'!$AB31="")),'[1]LMP IN PPT'!M33,0))))))</f>
        <v>27.60642</v>
      </c>
      <c r="K31">
        <f>IF(AND('[1]LMP IN PPT'!$A33='[1]LMP IN MST'!$A31,'[1]LMP IN MST'!$Z31="ST",'[1]LMP IN MST'!$AA31="NORM",OR('[1]LMP IN MST'!$AB31="MAR",'[1]LMP IN MST'!$AB31="")),'[1]LMP IN PPT'!M33,IF(AND('[1]LMP IN PPT'!$A33='[1]LMP IN MST'!$A31,'[1]LMP IN MST'!$Z31="DST",'[1]LMP IN MST'!$AA31="FB",'[1]LMP IN MST'!$AB31="NOV"),'[1]LMP IN PPT'!N33,IF(AND('[1]LMP IN PPT'!$A33='[1]LMP IN MST'!$A31,'[1]LMP IN MST'!$Z31="ST",'[1]LMP IN MST'!$AA31="NORM",'[1]LMP IN MST'!$AB31="NOV"),'[1]LMP IN PPT'!N33,IF(AND('[1]LMP IN PPT'!$A33='[1]LMP IN MST'!$A31,'[1]LMP IN MST'!$Z31="DST",'[1]LMP IN MST'!$AA31="SF",'[1]LMP IN MST'!$AB31="MAR"),'[1]LMP IN PPT'!N33,IF(AND('[1]LMP IN PPT'!$A33='[1]LMP IN MST'!$A31,'[1]LMP IN MST'!$Z31="DST",'[1]LMP IN MST'!$AA31="NORM",'[1]LMP IN MST'!$AB31="NOV"),'[1]LMP IN PPT'!O33,IF(AND('[1]LMP IN PPT'!$A33='[1]LMP IN MST'!$A31,'[1]LMP IN MST'!$Z31="DST",'[1]LMP IN MST'!$AA31="NORM",OR('[1]LMP IN MST'!$AB31="MAR",'[1]LMP IN MST'!$AB31="")),'[1]LMP IN PPT'!N33,0))))))</f>
        <v>11.582140000000001</v>
      </c>
      <c r="L31">
        <f>IF(AND('[1]LMP IN PPT'!$A33='[1]LMP IN MST'!$A31,'[1]LMP IN MST'!$Z31="ST",'[1]LMP IN MST'!$AA31="NORM",OR('[1]LMP IN MST'!$AB31="MAR",'[1]LMP IN MST'!$AB31="")),'[1]LMP IN PPT'!N33,IF(AND('[1]LMP IN PPT'!$A33='[1]LMP IN MST'!$A31,'[1]LMP IN MST'!$Z31="DST",'[1]LMP IN MST'!$AA31="FB",'[1]LMP IN MST'!$AB31="NOV"),'[1]LMP IN PPT'!O33,IF(AND('[1]LMP IN PPT'!$A33='[1]LMP IN MST'!$A31,'[1]LMP IN MST'!$Z31="ST",'[1]LMP IN MST'!$AA31="NORM",'[1]LMP IN MST'!$AB31="NOV"),'[1]LMP IN PPT'!O33,IF(AND('[1]LMP IN PPT'!$A33='[1]LMP IN MST'!$A31,'[1]LMP IN MST'!$Z31="DST",'[1]LMP IN MST'!$AA31="SF",'[1]LMP IN MST'!$AB31="MAR"),'[1]LMP IN PPT'!O33,IF(AND('[1]LMP IN PPT'!$A33='[1]LMP IN MST'!$A31,'[1]LMP IN MST'!$Z31="DST",'[1]LMP IN MST'!$AA31="NORM",'[1]LMP IN MST'!$AB31="NOV"),'[1]LMP IN PPT'!P33,IF(AND('[1]LMP IN PPT'!$A33='[1]LMP IN MST'!$A31,'[1]LMP IN MST'!$Z31="DST",'[1]LMP IN MST'!$AA31="NORM",OR('[1]LMP IN MST'!$AB31="MAR",'[1]LMP IN MST'!$AB31="")),'[1]LMP IN PPT'!O33,0))))))</f>
        <v>4.3236100000000004</v>
      </c>
      <c r="M31">
        <f>IF(AND('[1]LMP IN PPT'!$A33='[1]LMP IN MST'!$A31,'[1]LMP IN MST'!$Z31="ST",'[1]LMP IN MST'!$AA31="NORM",OR('[1]LMP IN MST'!$AB31="MAR",'[1]LMP IN MST'!$AB31="")),'[1]LMP IN PPT'!O33,IF(AND('[1]LMP IN PPT'!$A33='[1]LMP IN MST'!$A31,'[1]LMP IN MST'!$Z31="DST",'[1]LMP IN MST'!$AA31="FB",'[1]LMP IN MST'!$AB31="NOV"),'[1]LMP IN PPT'!P33,IF(AND('[1]LMP IN PPT'!$A33='[1]LMP IN MST'!$A31,'[1]LMP IN MST'!$Z31="ST",'[1]LMP IN MST'!$AA31="NORM",'[1]LMP IN MST'!$AB31="NOV"),'[1]LMP IN PPT'!P33,IF(AND('[1]LMP IN PPT'!$A33='[1]LMP IN MST'!$A31,'[1]LMP IN MST'!$Z31="DST",'[1]LMP IN MST'!$AA31="SF",'[1]LMP IN MST'!$AB31="MAR"),'[1]LMP IN PPT'!P33,IF(AND('[1]LMP IN PPT'!$A33='[1]LMP IN MST'!$A31,'[1]LMP IN MST'!$Z31="DST",'[1]LMP IN MST'!$AA31="NORM",'[1]LMP IN MST'!$AB31="NOV"),'[1]LMP IN PPT'!Q33,IF(AND('[1]LMP IN PPT'!$A33='[1]LMP IN MST'!$A31,'[1]LMP IN MST'!$Z31="DST",'[1]LMP IN MST'!$AA31="NORM",OR('[1]LMP IN MST'!$AB31="MAR",'[1]LMP IN MST'!$AB31="")),'[1]LMP IN PPT'!P33,0))))))</f>
        <v>-1.09246</v>
      </c>
      <c r="N31">
        <f>IF(AND('[1]LMP IN PPT'!$A33='[1]LMP IN MST'!$A31,'[1]LMP IN MST'!$Z31="ST",'[1]LMP IN MST'!$AA31="NORM",OR('[1]LMP IN MST'!$AB31="MAR",'[1]LMP IN MST'!$AB31="")),'[1]LMP IN PPT'!P33,IF(AND('[1]LMP IN PPT'!$A33='[1]LMP IN MST'!$A31,'[1]LMP IN MST'!$Z31="DST",'[1]LMP IN MST'!$AA31="FB",'[1]LMP IN MST'!$AB31="NOV"),'[1]LMP IN PPT'!Q33,IF(AND('[1]LMP IN PPT'!$A33='[1]LMP IN MST'!$A31,'[1]LMP IN MST'!$Z31="ST",'[1]LMP IN MST'!$AA31="NORM",'[1]LMP IN MST'!$AB31="NOV"),'[1]LMP IN PPT'!Q33,IF(AND('[1]LMP IN PPT'!$A33='[1]LMP IN MST'!$A31,'[1]LMP IN MST'!$Z31="DST",'[1]LMP IN MST'!$AA31="SF",'[1]LMP IN MST'!$AB31="MAR"),'[1]LMP IN PPT'!Q33,IF(AND('[1]LMP IN PPT'!$A33='[1]LMP IN MST'!$A31,'[1]LMP IN MST'!$Z31="DST",'[1]LMP IN MST'!$AA31="NORM",'[1]LMP IN MST'!$AB31="NOV"),'[1]LMP IN PPT'!R33,IF(AND('[1]LMP IN PPT'!$A33='[1]LMP IN MST'!$A31,'[1]LMP IN MST'!$Z31="DST",'[1]LMP IN MST'!$AA31="NORM",OR('[1]LMP IN MST'!$AB31="MAR",'[1]LMP IN MST'!$AB31="")),'[1]LMP IN PPT'!Q33,0))))))</f>
        <v>-1.9200200000000001</v>
      </c>
      <c r="O31">
        <f>IF(AND('[1]LMP IN PPT'!$A33='[1]LMP IN MST'!$A31,'[1]LMP IN MST'!$Z31="ST",'[1]LMP IN MST'!$AA31="NORM",OR('[1]LMP IN MST'!$AB31="MAR",'[1]LMP IN MST'!$AB31="")),'[1]LMP IN PPT'!Q33,IF(AND('[1]LMP IN PPT'!$A33='[1]LMP IN MST'!$A31,'[1]LMP IN MST'!$Z31="DST",'[1]LMP IN MST'!$AA31="FB",'[1]LMP IN MST'!$AB31="NOV"),'[1]LMP IN PPT'!R33,IF(AND('[1]LMP IN PPT'!$A33='[1]LMP IN MST'!$A31,'[1]LMP IN MST'!$Z31="ST",'[1]LMP IN MST'!$AA31="NORM",'[1]LMP IN MST'!$AB31="NOV"),'[1]LMP IN PPT'!R33,IF(AND('[1]LMP IN PPT'!$A33='[1]LMP IN MST'!$A31,'[1]LMP IN MST'!$Z31="DST",'[1]LMP IN MST'!$AA31="SF",'[1]LMP IN MST'!$AB31="MAR"),'[1]LMP IN PPT'!R33,IF(AND('[1]LMP IN PPT'!$A33='[1]LMP IN MST'!$A31,'[1]LMP IN MST'!$Z31="DST",'[1]LMP IN MST'!$AA31="NORM",'[1]LMP IN MST'!$AB31="NOV"),'[1]LMP IN PPT'!S33,IF(AND('[1]LMP IN PPT'!$A33='[1]LMP IN MST'!$A31,'[1]LMP IN MST'!$Z31="DST",'[1]LMP IN MST'!$AA31="NORM",OR('[1]LMP IN MST'!$AB31="MAR",'[1]LMP IN MST'!$AB31="")),'[1]LMP IN PPT'!R33,0))))))</f>
        <v>-5.1963200000000001</v>
      </c>
      <c r="P31">
        <f>IF(AND('[1]LMP IN PPT'!$A33='[1]LMP IN MST'!$A31,'[1]LMP IN MST'!$Z31="ST",'[1]LMP IN MST'!$AA31="NORM",OR('[1]LMP IN MST'!$AB31="MAR",'[1]LMP IN MST'!$AB31="")),'[1]LMP IN PPT'!R33,IF(AND('[1]LMP IN PPT'!$A33='[1]LMP IN MST'!$A31,'[1]LMP IN MST'!$Z31="DST",'[1]LMP IN MST'!$AA31="FB",'[1]LMP IN MST'!$AB31="NOV"),'[1]LMP IN PPT'!S33,IF(AND('[1]LMP IN PPT'!$A33='[1]LMP IN MST'!$A31,'[1]LMP IN MST'!$Z31="ST",'[1]LMP IN MST'!$AA31="NORM",'[1]LMP IN MST'!$AB31="NOV"),'[1]LMP IN PPT'!S33,IF(AND('[1]LMP IN PPT'!$A33='[1]LMP IN MST'!$A31,'[1]LMP IN MST'!$Z31="DST",'[1]LMP IN MST'!$AA31="SF",'[1]LMP IN MST'!$AB31="MAR"),'[1]LMP IN PPT'!S33,IF(AND('[1]LMP IN PPT'!$A33='[1]LMP IN MST'!$A31,'[1]LMP IN MST'!$Z31="DST",'[1]LMP IN MST'!$AA31="NORM",'[1]LMP IN MST'!$AB31="NOV"),'[1]LMP IN PPT'!T33,IF(AND('[1]LMP IN PPT'!$A33='[1]LMP IN MST'!$A31,'[1]LMP IN MST'!$Z31="DST",'[1]LMP IN MST'!$AA31="NORM",OR('[1]LMP IN MST'!$AB31="MAR",'[1]LMP IN MST'!$AB31="")),'[1]LMP IN PPT'!S33,0))))))</f>
        <v>-2.9357099999999998</v>
      </c>
      <c r="Q31">
        <f>IF(AND('[1]LMP IN PPT'!$A33='[1]LMP IN MST'!$A31,'[1]LMP IN MST'!$Z31="ST",'[1]LMP IN MST'!$AA31="NORM",OR('[1]LMP IN MST'!$AB31="MAR",'[1]LMP IN MST'!$AB31="")),'[1]LMP IN PPT'!S33,IF(AND('[1]LMP IN PPT'!$A33='[1]LMP IN MST'!$A31,'[1]LMP IN MST'!$Z31="DST",'[1]LMP IN MST'!$AA31="FB",'[1]LMP IN MST'!$AB31="NOV"),'[1]LMP IN PPT'!T33,IF(AND('[1]LMP IN PPT'!$A33='[1]LMP IN MST'!$A31,'[1]LMP IN MST'!$Z31="ST",'[1]LMP IN MST'!$AA31="NORM",'[1]LMP IN MST'!$AB31="NOV"),'[1]LMP IN PPT'!T33,IF(AND('[1]LMP IN PPT'!$A33='[1]LMP IN MST'!$A31,'[1]LMP IN MST'!$Z31="DST",'[1]LMP IN MST'!$AA31="SF",'[1]LMP IN MST'!$AB31="MAR"),'[1]LMP IN PPT'!T33,IF(AND('[1]LMP IN PPT'!$A33='[1]LMP IN MST'!$A31,'[1]LMP IN MST'!$Z31="DST",'[1]LMP IN MST'!$AA31="NORM",'[1]LMP IN MST'!$AB31="NOV"),'[1]LMP IN PPT'!U33,IF(AND('[1]LMP IN PPT'!$A33='[1]LMP IN MST'!$A31,'[1]LMP IN MST'!$Z31="DST",'[1]LMP IN MST'!$AA31="NORM",OR('[1]LMP IN MST'!$AB31="MAR",'[1]LMP IN MST'!$AB31="")),'[1]LMP IN PPT'!T33,0))))))</f>
        <v>1.9496800000000001</v>
      </c>
      <c r="R31">
        <f>IF(AND('[1]LMP IN PPT'!$A33='[1]LMP IN MST'!$A31,'[1]LMP IN MST'!$Z31="ST",'[1]LMP IN MST'!$AA31="NORM",OR('[1]LMP IN MST'!$AB31="MAR",'[1]LMP IN MST'!$AB31="")),'[1]LMP IN PPT'!T33,IF(AND('[1]LMP IN PPT'!$A33='[1]LMP IN MST'!$A31,'[1]LMP IN MST'!$Z31="DST",'[1]LMP IN MST'!$AA31="FB",'[1]LMP IN MST'!$AB31="NOV"),'[1]LMP IN PPT'!U33,IF(AND('[1]LMP IN PPT'!$A33='[1]LMP IN MST'!$A31,'[1]LMP IN MST'!$Z31="ST",'[1]LMP IN MST'!$AA31="NORM",'[1]LMP IN MST'!$AB31="NOV"),'[1]LMP IN PPT'!U33,IF(AND('[1]LMP IN PPT'!$A33='[1]LMP IN MST'!$A31,'[1]LMP IN MST'!$Z31="DST",'[1]LMP IN MST'!$AA31="SF",'[1]LMP IN MST'!$AB31="MAR"),'[1]LMP IN PPT'!U33,IF(AND('[1]LMP IN PPT'!$A33='[1]LMP IN MST'!$A31,'[1]LMP IN MST'!$Z31="DST",'[1]LMP IN MST'!$AA31="NORM",'[1]LMP IN MST'!$AB31="NOV"),'[1]LMP IN PPT'!V33,IF(AND('[1]LMP IN PPT'!$A33='[1]LMP IN MST'!$A31,'[1]LMP IN MST'!$Z31="DST",'[1]LMP IN MST'!$AA31="NORM",OR('[1]LMP IN MST'!$AB31="MAR",'[1]LMP IN MST'!$AB31="")),'[1]LMP IN PPT'!U33,0))))))</f>
        <v>18.0641</v>
      </c>
      <c r="S31">
        <f>IF(AND('[1]LMP IN PPT'!$A33='[1]LMP IN MST'!$A31,'[1]LMP IN MST'!$Z31="ST",'[1]LMP IN MST'!$AA31="NORM",OR('[1]LMP IN MST'!$AB31="MAR",'[1]LMP IN MST'!$AB31="")),'[1]LMP IN PPT'!U33,IF(AND('[1]LMP IN PPT'!$A33='[1]LMP IN MST'!$A31,'[1]LMP IN MST'!$Z31="DST",'[1]LMP IN MST'!$AA31="FB",'[1]LMP IN MST'!$AB31="NOV"),'[1]LMP IN PPT'!V33,IF(AND('[1]LMP IN PPT'!$A33='[1]LMP IN MST'!$A31,'[1]LMP IN MST'!$Z31="ST",'[1]LMP IN MST'!$AA31="NORM",'[1]LMP IN MST'!$AB31="NOV"),'[1]LMP IN PPT'!V33,IF(AND('[1]LMP IN PPT'!$A33='[1]LMP IN MST'!$A31,'[1]LMP IN MST'!$Z31="DST",'[1]LMP IN MST'!$AA31="SF",'[1]LMP IN MST'!$AB31="MAR"),'[1]LMP IN PPT'!V33,IF(AND('[1]LMP IN PPT'!$A33='[1]LMP IN MST'!$A31,'[1]LMP IN MST'!$Z31="DST",'[1]LMP IN MST'!$AA31="NORM",'[1]LMP IN MST'!$AB31="NOV"),'[1]LMP IN PPT'!W33,IF(AND('[1]LMP IN PPT'!$A33='[1]LMP IN MST'!$A31,'[1]LMP IN MST'!$Z31="DST",'[1]LMP IN MST'!$AA31="NORM",OR('[1]LMP IN MST'!$AB31="MAR",'[1]LMP IN MST'!$AB31="")),'[1]LMP IN PPT'!V33,0))))))</f>
        <v>32.083410000000001</v>
      </c>
      <c r="T31">
        <f>IF(AND('[1]LMP IN PPT'!$A33='[1]LMP IN MST'!$A31,'[1]LMP IN MST'!$Z31="ST",'[1]LMP IN MST'!$AA31="NORM",OR('[1]LMP IN MST'!$AB31="MAR",'[1]LMP IN MST'!$AB31="")),'[1]LMP IN PPT'!V33,IF(AND('[1]LMP IN PPT'!$A33='[1]LMP IN MST'!$A31,'[1]LMP IN MST'!$Z31="DST",'[1]LMP IN MST'!$AA31="FB",'[1]LMP IN MST'!$AB31="NOV"),'[1]LMP IN PPT'!W33,IF(AND('[1]LMP IN PPT'!$A33='[1]LMP IN MST'!$A31,'[1]LMP IN MST'!$Z31="ST",'[1]LMP IN MST'!$AA31="NORM",'[1]LMP IN MST'!$AB31="NOV"),'[1]LMP IN PPT'!W33,IF(AND('[1]LMP IN PPT'!$A33='[1]LMP IN MST'!$A31,'[1]LMP IN MST'!$Z31="DST",'[1]LMP IN MST'!$AA31="SF",'[1]LMP IN MST'!$AB31="MAR"),'[1]LMP IN PPT'!W33,IF(AND('[1]LMP IN PPT'!$A33='[1]LMP IN MST'!$A31,'[1]LMP IN MST'!$Z31="DST",'[1]LMP IN MST'!$AA31="NORM",'[1]LMP IN MST'!$AB31="NOV"),'[1]LMP IN PPT'!X33,IF(AND('[1]LMP IN PPT'!$A33='[1]LMP IN MST'!$A31,'[1]LMP IN MST'!$Z31="DST",'[1]LMP IN MST'!$AA31="NORM",OR('[1]LMP IN MST'!$AB31="MAR",'[1]LMP IN MST'!$AB31="")),'[1]LMP IN PPT'!W33,0))))))</f>
        <v>40.799999999999997</v>
      </c>
      <c r="U31">
        <f>IF(AND('[1]LMP IN PPT'!$A33='[1]LMP IN MST'!$A31,'[1]LMP IN MST'!$Z31="ST",'[1]LMP IN MST'!$AA31="NORM",OR('[1]LMP IN MST'!$AB31="MAR",'[1]LMP IN MST'!$AB31="")),'[1]LMP IN PPT'!W33,IF(AND('[1]LMP IN PPT'!$A33='[1]LMP IN MST'!$A31,'[1]LMP IN MST'!$Z31="DST",'[1]LMP IN MST'!$AA31="FB",'[1]LMP IN MST'!$AB31="NOV"),'[1]LMP IN PPT'!X33,IF(AND('[1]LMP IN PPT'!$A33='[1]LMP IN MST'!$A31,'[1]LMP IN MST'!$Z31="ST",'[1]LMP IN MST'!$AA31="NORM",'[1]LMP IN MST'!$AB31="NOV"),'[1]LMP IN PPT'!X33,IF(AND('[1]LMP IN PPT'!$A33='[1]LMP IN MST'!$A31,'[1]LMP IN MST'!$Z31="DST",'[1]LMP IN MST'!$AA31="SF",'[1]LMP IN MST'!$AB31="MAR"),'[1]LMP IN PPT'!X33,IF(AND('[1]LMP IN PPT'!$A33='[1]LMP IN MST'!$A31,'[1]LMP IN MST'!$Z31="DST",'[1]LMP IN MST'!$AA31="NORM",'[1]LMP IN MST'!$AB31="NOV"),'[1]LMP IN PPT'!Y33,IF(AND('[1]LMP IN PPT'!$A33='[1]LMP IN MST'!$A31,'[1]LMP IN MST'!$Z31="DST",'[1]LMP IN MST'!$AA31="NORM",OR('[1]LMP IN MST'!$AB31="MAR",'[1]LMP IN MST'!$AB31="")),'[1]LMP IN PPT'!X33,0))))))</f>
        <v>41.049039999999998</v>
      </c>
      <c r="V31">
        <f>IF(AND('[1]LMP IN PPT'!$A33='[1]LMP IN MST'!$A31,'[1]LMP IN MST'!$Z31="ST",'[1]LMP IN MST'!$AA31="NORM",OR('[1]LMP IN MST'!$AB31="MAR",'[1]LMP IN MST'!$AB31="")),'[1]LMP IN PPT'!X33,IF(AND('[1]LMP IN PPT'!$A33='[1]LMP IN MST'!$A31,'[1]LMP IN MST'!$Z31="DST",'[1]LMP IN MST'!$AA31="FB",'[1]LMP IN MST'!$AB31="NOV"),'[1]LMP IN PPT'!Y33,IF(AND('[1]LMP IN PPT'!$A33='[1]LMP IN MST'!$A31,'[1]LMP IN MST'!$Z31="ST",'[1]LMP IN MST'!$AA31="NORM",'[1]LMP IN MST'!$AB31="NOV"),'[1]LMP IN PPT'!Y33,IF(AND('[1]LMP IN PPT'!$A33='[1]LMP IN MST'!$A31,'[1]LMP IN MST'!$Z31="DST",'[1]LMP IN MST'!$AA31="SF",'[1]LMP IN MST'!$AB31="MAR"),'[1]LMP IN PPT'!Y33,IF(AND('[1]LMP IN PPT'!$A33='[1]LMP IN MST'!$A31,'[1]LMP IN MST'!$Z31="DST",'[1]LMP IN MST'!$AA31="NORM",'[1]LMP IN MST'!$AB31="NOV"),'[1]LMP IN PPT'!Z33,IF(AND('[1]LMP IN PPT'!$A33='[1]LMP IN MST'!$A31,'[1]LMP IN MST'!$Z31="DST",'[1]LMP IN MST'!$AA31="NORM",OR('[1]LMP IN MST'!$AB31="MAR",'[1]LMP IN MST'!$AB31="")),'[1]LMP IN PPT'!Y33,0))))))</f>
        <v>40.361609999999999</v>
      </c>
      <c r="W31">
        <f>IF(AND('[1]LMP IN PPT'!$A33='[1]LMP IN MST'!$A31,'[1]LMP IN MST'!$Z31="ST",'[1]LMP IN MST'!$AA31="NORM",OR('[1]LMP IN MST'!$AB31="MAR",'[1]LMP IN MST'!$AB31="")),'[1]LMP IN PPT'!Y33,IF(AND('[1]LMP IN PPT'!$A33='[1]LMP IN MST'!$A31,'[1]LMP IN MST'!$Z31="DST",'[1]LMP IN MST'!$AA31="FB",'[1]LMP IN MST'!$AB31="NOV"),'[1]LMP IN PPT'!Z33,IF(AND('[1]LMP IN PPT'!$A33='[1]LMP IN MST'!$A31,'[1]LMP IN MST'!$Z31="ST",'[1]LMP IN MST'!$AA31="NORM",'[1]LMP IN MST'!$AB31="NOV"),'[1]LMP IN PPT'!Z33,IF(AND('[1]LMP IN PPT'!$A33='[1]LMP IN MST'!$A31,'[1]LMP IN MST'!$Z31="DST",'[1]LMP IN MST'!$AA31="SF",'[1]LMP IN MST'!$AB31="MAR"),'[1]LMP IN PPT'!Z33,IF(AND('[1]LMP IN PPT'!$A33='[1]LMP IN MST'!$A31,'[1]LMP IN MST'!$Z31="DST",'[1]LMP IN MST'!$AA31="NORM",'[1]LMP IN MST'!$AB31="NOV"),'[1]LMP IN PPT'!AA33,IF(AND('[1]LMP IN PPT'!$A33='[1]LMP IN MST'!$A31,'[1]LMP IN MST'!$Z31="DST",'[1]LMP IN MST'!$AA31="NORM",OR('[1]LMP IN MST'!$AB31="MAR",'[1]LMP IN MST'!$AB31="")),'[1]LMP IN PPT'!Z33,0))))))</f>
        <v>40.231009999999998</v>
      </c>
      <c r="X31">
        <f>IF(AND('[1]LMP IN PPT'!$A33='[1]LMP IN MST'!$A31,'[1]LMP IN MST'!$Z31="ST",'[1]LMP IN MST'!$AA31="NORM",OR('[1]LMP IN MST'!$AB31="MAR",'[1]LMP IN MST'!$AB31="")),'[1]LMP IN PPT'!Z33,IF(AND('[1]LMP IN PPT'!$A33='[1]LMP IN MST'!$A31,'[1]LMP IN MST'!$Z31="DST",'[1]LMP IN MST'!$AA31="FB",'[1]LMP IN MST'!$AB31="NOV"),'[1]LMP IN PPT'!AA33,IF(AND('[1]LMP IN PPT'!$A33='[1]LMP IN MST'!$A31,'[1]LMP IN MST'!$Z31="ST",'[1]LMP IN MST'!$AA31="NORM",'[1]LMP IN MST'!$AB31="NOV"),'[1]LMP IN PPT'!AA33,IF(AND('[1]LMP IN PPT'!$A33='[1]LMP IN MST'!$A31,'[1]LMP IN MST'!$Z31="DST",'[1]LMP IN MST'!$AA31="SF",'[1]LMP IN MST'!$AB31="MAR"),'[1]LMP IN PPT'!AA33,IF(AND('[1]LMP IN PPT'!$A33='[1]LMP IN MST'!$A31,'[1]LMP IN MST'!$Z31="DST",'[1]LMP IN MST'!$AA31="NORM",'[1]LMP IN MST'!$AB31="NOV"),'[1]LMP IN PPT'!AB33,IF(AND('[1]LMP IN PPT'!$A33='[1]LMP IN MST'!$A31,'[1]LMP IN MST'!$Z31="DST",'[1]LMP IN MST'!$AA31="NORM",OR('[1]LMP IN MST'!$AB31="MAR",'[1]LMP IN MST'!$AB31="")),'[1]LMP IN PPT'!AA33,0))))))</f>
        <v>39.763199999999998</v>
      </c>
      <c r="Y31">
        <f>IF(AND('[1]LMP IN PPT'!$A33='[1]LMP IN MST'!$A31,'[1]LMP IN MST'!$Z31="ST",'[1]LMP IN MST'!$AA31="NORM",OR('[1]LMP IN MST'!$AB31="MAR",'[1]LMP IN MST'!$AB31="")),'[1]LMP IN PPT'!AA33,IF(AND('[1]LMP IN PPT'!$A33='[1]LMP IN MST'!$A31,'[1]LMP IN MST'!$Z31="DST",'[1]LMP IN MST'!$AA31="FB",'[1]LMP IN MST'!$AB31="NOV"),'[1]LMP IN PPT'!AB33,IF(AND('[1]LMP IN PPT'!$A33='[1]LMP IN MST'!$A31,'[1]LMP IN MST'!$Z31="ST",'[1]LMP IN MST'!$AA31="NORM",'[1]LMP IN MST'!$AB31="NOV"),'[1]LMP IN PPT'!AB33,IF(AND('[1]LMP IN PPT'!$A33='[1]LMP IN MST'!$A31,'[1]LMP IN MST'!$Z31="DST",'[1]LMP IN MST'!$AA31="SF",'[1]LMP IN MST'!$AB31="MAR"),'[1]LMP IN PPT'!AB33,IF(AND('[1]LMP IN PPT'!$A33='[1]LMP IN MST'!$A31,'[1]LMP IN MST'!$Z31="DST",'[1]LMP IN MST'!$AA31="NORM",'[1]LMP IN MST'!$AB31="NOV"),'[1]LMP IN PPT'!AC33,IF(AND('[1]LMP IN PPT'!$A33='[1]LMP IN MST'!$A31,'[1]LMP IN MST'!$Z31="DST",'[1]LMP IN MST'!$AA31="NORM",OR('[1]LMP IN MST'!$AB31="MAR",'[1]LMP IN MST'!$AB31="")),'[1]LMP IN PPT'!AB33,0))))))</f>
        <v>37.360309999999998</v>
      </c>
    </row>
    <row r="32" spans="1:25" x14ac:dyDescent="0.3">
      <c r="A32" s="1">
        <f t="shared" si="0"/>
        <v>45382</v>
      </c>
      <c r="B32">
        <f>IF(AND('[1]LMP IN PPT'!$A34='[1]LMP IN MST'!$A32,'[1]LMP IN MST'!$Z32="ST",'[1]LMP IN MST'!$AA32="NORM",'[1]LMP IN MST'!$AB32="NOV"),'[1]LMP IN PPT'!AC33,IF(AND('[1]LMP IN PPT'!$A34='[1]LMP IN MST'!$A32,'[1]LMP IN MST'!$Z32="ST",'[1]LMP IN MST'!$AA32="NORM",'[1]LMP IN MST'!$AB32="MAR"),'[1]LMP IN PPT'!AB33,IF(AND('[1]LMP IN PPT'!$A34='[1]LMP IN MST'!$A32,'[1]LMP IN MST'!$Z32="ST",'[1]LMP IN MST'!$AA32="NORM",'[1]LMP IN MST'!$AB32=""),'[1]LMP IN PPT'!AB33,IF(AND('[1]LMP IN PPT'!$A34='[1]LMP IN MST'!$A32,'[1]LMP IN MST'!$Z32="DST",'[1]LMP IN MST'!$AA32="FB",'[1]LMP IN MST'!$AB32="NOV"),'[1]LMP IN PPT'!E34,IF(AND('[1]LMP IN PPT'!$A34='[1]LMP IN MST'!$A32,'[1]LMP IN MST'!$Z32="DST",'[1]LMP IN MST'!$AA32="SF",'[1]LMP IN MST'!$AB32="MAR"),'[1]LMP IN PPT'!AB33,IF(AND('[1]LMP IN PPT'!$A34='[1]LMP IN MST'!$A32,'[1]LMP IN MST'!$Z32="DST",'[1]LMP IN MST'!$AA32="NORM",OR('[1]LMP IN MST'!$AB32="MAR",'[1]LMP IN MST'!$AB32="",'[1]LMP IN MST'!$AB32="NOV")),'[1]LMP IN PPT'!E34,0))))))</f>
        <v>37.290610000000001</v>
      </c>
      <c r="C32">
        <f>IF(AND('[1]LMP IN PPT'!$A34='[1]LMP IN MST'!$A32,'[1]LMP IN MST'!$Z32="ST",'[1]LMP IN MST'!$AA32="NORM",OR('[1]LMP IN MST'!$AB32="NOV",'[1]LMP IN MST'!$AB32="MAR",'[1]LMP IN MST'!$AB32="")),'[1]LMP IN PPT'!E34,IF(AND('[1]LMP IN PPT'!$A34='[1]LMP IN MST'!$A32,'[1]LMP IN MST'!$Z32="DST",'[1]LMP IN MST'!$AA32="FB",'[1]LMP IN MST'!$AB32="NOV"),'[1]LMP IN PPT'!F34,IF(AND('[1]LMP IN PPT'!$A34='[1]LMP IN MST'!$A32,'[1]LMP IN MST'!$Z32="DST",'[1]LMP IN MST'!$AA32="SF",'[1]LMP IN MST'!$AB32="MAR"),'[1]LMP IN PPT'!E34,IF(AND('[1]LMP IN PPT'!$A34='[1]LMP IN MST'!$A32,'[1]LMP IN MST'!$Z32="DST",'[1]LMP IN MST'!$AA32="NORM",OR('[1]LMP IN MST'!$AB32="MAR",'[1]LMP IN MST'!$AB32="",'[1]LMP IN MST'!$AB32="NOV")),'[1]LMP IN PPT'!F34,0))))</f>
        <v>36.175379999999997</v>
      </c>
      <c r="D32">
        <f>IF(AND('[1]LMP IN PPT'!$A34='[1]LMP IN MST'!$A32,'[1]LMP IN MST'!$Z32="ST",'[1]LMP IN MST'!$AA32="NORM",OR('[1]LMP IN MST'!$AB32="NOV",'[1]LMP IN MST'!$AB32="MAR",'[1]LMP IN MST'!$AB32="")),'[1]LMP IN PPT'!F34,IF(AND('[1]LMP IN PPT'!$A34='[1]LMP IN MST'!$A32,'[1]LMP IN MST'!$Z32="DST",'[1]LMP IN MST'!$AA32="FB",'[1]LMP IN MST'!$AB32="NOV"),'[1]LMP IN PPT'!G34,IF(AND('[1]LMP IN PPT'!$A34='[1]LMP IN MST'!$A32,'[1]LMP IN MST'!$Z32="DST",'[1]LMP IN MST'!$AA32="SF",'[1]LMP IN MST'!$AB32="MAR"),'[1]LMP IN PPT'!F34,IF(AND('[1]LMP IN PPT'!$A34='[1]LMP IN MST'!$A32,'[1]LMP IN MST'!$Z32="DST",'[1]LMP IN MST'!$AA32="NORM",OR('[1]LMP IN MST'!$AB32="MAR",'[1]LMP IN MST'!$AB32="",'[1]LMP IN MST'!$AB32="NOV")),'[1]LMP IN PPT'!G34,0))))</f>
        <v>34.299140000000001</v>
      </c>
      <c r="E32">
        <f>IF(AND('[1]LMP IN PPT'!$A34='[1]LMP IN MST'!$A32,'[1]LMP IN MST'!$Z32="ST",'[1]LMP IN MST'!$AA32="NORM",OR('[1]LMP IN MST'!$AB32="MAR",'[1]LMP IN MST'!$AB32="")),'[1]LMP IN PPT'!G34,IF(AND('[1]LMP IN PPT'!$A34='[1]LMP IN MST'!$A32,'[1]LMP IN MST'!$Z32="DST",'[1]LMP IN MST'!$AA32="FB",'[1]LMP IN MST'!$AB32="NOV"),'[1]LMP IN PPT'!H34,IF(AND('[1]LMP IN PPT'!$A34='[1]LMP IN MST'!$A32,'[1]LMP IN MST'!$Z32="ST",'[1]LMP IN MST'!$AA32="NORM",'[1]LMP IN MST'!$AB32="NOV"),'[1]LMP IN PPT'!H34,IF(AND('[1]LMP IN PPT'!$A34='[1]LMP IN MST'!$A32,'[1]LMP IN MST'!$Z32="DST",'[1]LMP IN MST'!$AA32="SF",'[1]LMP IN MST'!$AB32="MAR"),'[1]LMP IN PPT'!H34,IF(AND('[1]LMP IN PPT'!$A34='[1]LMP IN MST'!$A32,'[1]LMP IN MST'!$Z32="DST",'[1]LMP IN MST'!$AA32="NORM",'[1]LMP IN MST'!$AB32="NOV"),'[1]LMP IN PPT'!I34,IF(AND('[1]LMP IN PPT'!$A34='[1]LMP IN MST'!$A32,'[1]LMP IN MST'!$Z32="DST",'[1]LMP IN MST'!$AA32="NORM",OR('[1]LMP IN MST'!$AB32="MAR",'[1]LMP IN MST'!$AB32="")),'[1]LMP IN PPT'!H34,0))))))</f>
        <v>32.469799999999999</v>
      </c>
      <c r="F32">
        <f>IF(AND('[1]LMP IN PPT'!$A34='[1]LMP IN MST'!$A32,'[1]LMP IN MST'!$Z32="ST",'[1]LMP IN MST'!$AA32="NORM",OR('[1]LMP IN MST'!$AB32="MAR",'[1]LMP IN MST'!$AB32="")),'[1]LMP IN PPT'!H34,IF(AND('[1]LMP IN PPT'!$A34='[1]LMP IN MST'!$A32,'[1]LMP IN MST'!$Z32="DST",'[1]LMP IN MST'!$AA32="FB",'[1]LMP IN MST'!$AB32="NOV"),'[1]LMP IN PPT'!I34,IF(AND('[1]LMP IN PPT'!$A34='[1]LMP IN MST'!$A32,'[1]LMP IN MST'!$Z32="ST",'[1]LMP IN MST'!$AA32="NORM",'[1]LMP IN MST'!$AB32="NOV"),'[1]LMP IN PPT'!I34,IF(AND('[1]LMP IN PPT'!$A34='[1]LMP IN MST'!$A32,'[1]LMP IN MST'!$Z32="DST",'[1]LMP IN MST'!$AA32="SF",'[1]LMP IN MST'!$AB32="MAR"),'[1]LMP IN PPT'!I34,IF(AND('[1]LMP IN PPT'!$A34='[1]LMP IN MST'!$A32,'[1]LMP IN MST'!$Z32="DST",'[1]LMP IN MST'!$AA32="NORM",'[1]LMP IN MST'!$AB32="NOV"),'[1]LMP IN PPT'!J34,IF(AND('[1]LMP IN PPT'!$A34='[1]LMP IN MST'!$A32,'[1]LMP IN MST'!$Z32="DST",'[1]LMP IN MST'!$AA32="NORM",OR('[1]LMP IN MST'!$AB32="MAR",'[1]LMP IN MST'!$AB32="")),'[1]LMP IN PPT'!I34,0))))))</f>
        <v>33.916789999999999</v>
      </c>
      <c r="G32">
        <f>IF(AND('[1]LMP IN PPT'!$A34='[1]LMP IN MST'!$A32,'[1]LMP IN MST'!$Z32="ST",'[1]LMP IN MST'!$AA32="NORM",OR('[1]LMP IN MST'!$AB32="MAR",'[1]LMP IN MST'!$AB32="")),'[1]LMP IN PPT'!I34,IF(AND('[1]LMP IN PPT'!$A34='[1]LMP IN MST'!$A32,'[1]LMP IN MST'!$Z32="DST",'[1]LMP IN MST'!$AA32="FB",'[1]LMP IN MST'!$AB32="NOV"),'[1]LMP IN PPT'!J34,IF(AND('[1]LMP IN PPT'!$A34='[1]LMP IN MST'!$A32,'[1]LMP IN MST'!$Z32="ST",'[1]LMP IN MST'!$AA32="NORM",'[1]LMP IN MST'!$AB32="NOV"),'[1]LMP IN PPT'!J34,IF(AND('[1]LMP IN PPT'!$A34='[1]LMP IN MST'!$A32,'[1]LMP IN MST'!$Z32="DST",'[1]LMP IN MST'!$AA32="SF",'[1]LMP IN MST'!$AB32="MAR"),'[1]LMP IN PPT'!J34,IF(AND('[1]LMP IN PPT'!$A34='[1]LMP IN MST'!$A32,'[1]LMP IN MST'!$Z32="DST",'[1]LMP IN MST'!$AA32="NORM",'[1]LMP IN MST'!$AB32="NOV"),'[1]LMP IN PPT'!K34,IF(AND('[1]LMP IN PPT'!$A34='[1]LMP IN MST'!$A32,'[1]LMP IN MST'!$Z32="DST",'[1]LMP IN MST'!$AA32="NORM",OR('[1]LMP IN MST'!$AB32="MAR",'[1]LMP IN MST'!$AB32="")),'[1]LMP IN PPT'!J34,0))))))</f>
        <v>36.204689999999999</v>
      </c>
      <c r="H32">
        <f>IF(AND('[1]LMP IN PPT'!$A34='[1]LMP IN MST'!$A32,'[1]LMP IN MST'!$Z32="ST",'[1]LMP IN MST'!$AA32="NORM",OR('[1]LMP IN MST'!$AB32="MAR",'[1]LMP IN MST'!$AB32="")),'[1]LMP IN PPT'!J34,IF(AND('[1]LMP IN PPT'!$A34='[1]LMP IN MST'!$A32,'[1]LMP IN MST'!$Z32="DST",'[1]LMP IN MST'!$AA32="FB",'[1]LMP IN MST'!$AB32="NOV"),'[1]LMP IN PPT'!K34,IF(AND('[1]LMP IN PPT'!$A34='[1]LMP IN MST'!$A32,'[1]LMP IN MST'!$Z32="ST",'[1]LMP IN MST'!$AA32="NORM",'[1]LMP IN MST'!$AB32="NOV"),'[1]LMP IN PPT'!K34,IF(AND('[1]LMP IN PPT'!$A34='[1]LMP IN MST'!$A32,'[1]LMP IN MST'!$Z32="DST",'[1]LMP IN MST'!$AA32="SF",'[1]LMP IN MST'!$AB32="MAR"),'[1]LMP IN PPT'!K34,IF(AND('[1]LMP IN PPT'!$A34='[1]LMP IN MST'!$A32,'[1]LMP IN MST'!$Z32="DST",'[1]LMP IN MST'!$AA32="NORM",'[1]LMP IN MST'!$AB32="NOV"),'[1]LMP IN PPT'!L34,IF(AND('[1]LMP IN PPT'!$A34='[1]LMP IN MST'!$A32,'[1]LMP IN MST'!$Z32="DST",'[1]LMP IN MST'!$AA32="NORM",OR('[1]LMP IN MST'!$AB32="MAR",'[1]LMP IN MST'!$AB32="")),'[1]LMP IN PPT'!K34,0))))))</f>
        <v>37.211100000000002</v>
      </c>
      <c r="I32">
        <f>IF(AND('[1]LMP IN PPT'!$A34='[1]LMP IN MST'!$A32,'[1]LMP IN MST'!$Z32="ST",'[1]LMP IN MST'!$AA32="NORM",OR('[1]LMP IN MST'!$AB32="MAR",'[1]LMP IN MST'!$AB32="")),'[1]LMP IN PPT'!K34,IF(AND('[1]LMP IN PPT'!$A34='[1]LMP IN MST'!$A32,'[1]LMP IN MST'!$Z32="DST",'[1]LMP IN MST'!$AA32="FB",'[1]LMP IN MST'!$AB32="NOV"),'[1]LMP IN PPT'!L34,IF(AND('[1]LMP IN PPT'!$A34='[1]LMP IN MST'!$A32,'[1]LMP IN MST'!$Z32="ST",'[1]LMP IN MST'!$AA32="NORM",'[1]LMP IN MST'!$AB32="NOV"),'[1]LMP IN PPT'!L34,IF(AND('[1]LMP IN PPT'!$A34='[1]LMP IN MST'!$A32,'[1]LMP IN MST'!$Z32="DST",'[1]LMP IN MST'!$AA32="SF",'[1]LMP IN MST'!$AB32="MAR"),'[1]LMP IN PPT'!L34,IF(AND('[1]LMP IN PPT'!$A34='[1]LMP IN MST'!$A32,'[1]LMP IN MST'!$Z32="DST",'[1]LMP IN MST'!$AA32="NORM",'[1]LMP IN MST'!$AB32="NOV"),'[1]LMP IN PPT'!M34,IF(AND('[1]LMP IN PPT'!$A34='[1]LMP IN MST'!$A32,'[1]LMP IN MST'!$Z32="DST",'[1]LMP IN MST'!$AA32="NORM",OR('[1]LMP IN MST'!$AB32="MAR",'[1]LMP IN MST'!$AB32="")),'[1]LMP IN PPT'!L34,0))))))</f>
        <v>31.893540000000002</v>
      </c>
      <c r="J32">
        <f>IF(AND('[1]LMP IN PPT'!$A34='[1]LMP IN MST'!$A32,'[1]LMP IN MST'!$Z32="ST",'[1]LMP IN MST'!$AA32="NORM",OR('[1]LMP IN MST'!$AB32="MAR",'[1]LMP IN MST'!$AB32="")),'[1]LMP IN PPT'!L34,IF(AND('[1]LMP IN PPT'!$A34='[1]LMP IN MST'!$A32,'[1]LMP IN MST'!$Z32="DST",'[1]LMP IN MST'!$AA32="FB",'[1]LMP IN MST'!$AB32="NOV"),'[1]LMP IN PPT'!M34,IF(AND('[1]LMP IN PPT'!$A34='[1]LMP IN MST'!$A32,'[1]LMP IN MST'!$Z32="ST",'[1]LMP IN MST'!$AA32="NORM",'[1]LMP IN MST'!$AB32="NOV"),'[1]LMP IN PPT'!M34,IF(AND('[1]LMP IN PPT'!$A34='[1]LMP IN MST'!$A32,'[1]LMP IN MST'!$Z32="DST",'[1]LMP IN MST'!$AA32="SF",'[1]LMP IN MST'!$AB32="MAR"),'[1]LMP IN PPT'!M34,IF(AND('[1]LMP IN PPT'!$A34='[1]LMP IN MST'!$A32,'[1]LMP IN MST'!$Z32="DST",'[1]LMP IN MST'!$AA32="NORM",'[1]LMP IN MST'!$AB32="NOV"),'[1]LMP IN PPT'!N34,IF(AND('[1]LMP IN PPT'!$A34='[1]LMP IN MST'!$A32,'[1]LMP IN MST'!$Z32="DST",'[1]LMP IN MST'!$AA32="NORM",OR('[1]LMP IN MST'!$AB32="MAR",'[1]LMP IN MST'!$AB32="")),'[1]LMP IN PPT'!M34,0))))))</f>
        <v>10.66991</v>
      </c>
      <c r="K32">
        <f>IF(AND('[1]LMP IN PPT'!$A34='[1]LMP IN MST'!$A32,'[1]LMP IN MST'!$Z32="ST",'[1]LMP IN MST'!$AA32="NORM",OR('[1]LMP IN MST'!$AB32="MAR",'[1]LMP IN MST'!$AB32="")),'[1]LMP IN PPT'!M34,IF(AND('[1]LMP IN PPT'!$A34='[1]LMP IN MST'!$A32,'[1]LMP IN MST'!$Z32="DST",'[1]LMP IN MST'!$AA32="FB",'[1]LMP IN MST'!$AB32="NOV"),'[1]LMP IN PPT'!N34,IF(AND('[1]LMP IN PPT'!$A34='[1]LMP IN MST'!$A32,'[1]LMP IN MST'!$Z32="ST",'[1]LMP IN MST'!$AA32="NORM",'[1]LMP IN MST'!$AB32="NOV"),'[1]LMP IN PPT'!N34,IF(AND('[1]LMP IN PPT'!$A34='[1]LMP IN MST'!$A32,'[1]LMP IN MST'!$Z32="DST",'[1]LMP IN MST'!$AA32="SF",'[1]LMP IN MST'!$AB32="MAR"),'[1]LMP IN PPT'!N34,IF(AND('[1]LMP IN PPT'!$A34='[1]LMP IN MST'!$A32,'[1]LMP IN MST'!$Z32="DST",'[1]LMP IN MST'!$AA32="NORM",'[1]LMP IN MST'!$AB32="NOV"),'[1]LMP IN PPT'!O34,IF(AND('[1]LMP IN PPT'!$A34='[1]LMP IN MST'!$A32,'[1]LMP IN MST'!$Z32="DST",'[1]LMP IN MST'!$AA32="NORM",OR('[1]LMP IN MST'!$AB32="MAR",'[1]LMP IN MST'!$AB32="")),'[1]LMP IN PPT'!N34,0))))))</f>
        <v>-1.78827</v>
      </c>
      <c r="L32">
        <f>IF(AND('[1]LMP IN PPT'!$A34='[1]LMP IN MST'!$A32,'[1]LMP IN MST'!$Z32="ST",'[1]LMP IN MST'!$AA32="NORM",OR('[1]LMP IN MST'!$AB32="MAR",'[1]LMP IN MST'!$AB32="")),'[1]LMP IN PPT'!N34,IF(AND('[1]LMP IN PPT'!$A34='[1]LMP IN MST'!$A32,'[1]LMP IN MST'!$Z32="DST",'[1]LMP IN MST'!$AA32="FB",'[1]LMP IN MST'!$AB32="NOV"),'[1]LMP IN PPT'!O34,IF(AND('[1]LMP IN PPT'!$A34='[1]LMP IN MST'!$A32,'[1]LMP IN MST'!$Z32="ST",'[1]LMP IN MST'!$AA32="NORM",'[1]LMP IN MST'!$AB32="NOV"),'[1]LMP IN PPT'!O34,IF(AND('[1]LMP IN PPT'!$A34='[1]LMP IN MST'!$A32,'[1]LMP IN MST'!$Z32="DST",'[1]LMP IN MST'!$AA32="SF",'[1]LMP IN MST'!$AB32="MAR"),'[1]LMP IN PPT'!O34,IF(AND('[1]LMP IN PPT'!$A34='[1]LMP IN MST'!$A32,'[1]LMP IN MST'!$Z32="DST",'[1]LMP IN MST'!$AA32="NORM",'[1]LMP IN MST'!$AB32="NOV"),'[1]LMP IN PPT'!P34,IF(AND('[1]LMP IN PPT'!$A34='[1]LMP IN MST'!$A32,'[1]LMP IN MST'!$Z32="DST",'[1]LMP IN MST'!$AA32="NORM",OR('[1]LMP IN MST'!$AB32="MAR",'[1]LMP IN MST'!$AB32="")),'[1]LMP IN PPT'!O34,0))))))</f>
        <v>-10.573869999999999</v>
      </c>
      <c r="M32">
        <f>IF(AND('[1]LMP IN PPT'!$A34='[1]LMP IN MST'!$A32,'[1]LMP IN MST'!$Z32="ST",'[1]LMP IN MST'!$AA32="NORM",OR('[1]LMP IN MST'!$AB32="MAR",'[1]LMP IN MST'!$AB32="")),'[1]LMP IN PPT'!O34,IF(AND('[1]LMP IN PPT'!$A34='[1]LMP IN MST'!$A32,'[1]LMP IN MST'!$Z32="DST",'[1]LMP IN MST'!$AA32="FB",'[1]LMP IN MST'!$AB32="NOV"),'[1]LMP IN PPT'!P34,IF(AND('[1]LMP IN PPT'!$A34='[1]LMP IN MST'!$A32,'[1]LMP IN MST'!$Z32="ST",'[1]LMP IN MST'!$AA32="NORM",'[1]LMP IN MST'!$AB32="NOV"),'[1]LMP IN PPT'!P34,IF(AND('[1]LMP IN PPT'!$A34='[1]LMP IN MST'!$A32,'[1]LMP IN MST'!$Z32="DST",'[1]LMP IN MST'!$AA32="SF",'[1]LMP IN MST'!$AB32="MAR"),'[1]LMP IN PPT'!P34,IF(AND('[1]LMP IN PPT'!$A34='[1]LMP IN MST'!$A32,'[1]LMP IN MST'!$Z32="DST",'[1]LMP IN MST'!$AA32="NORM",'[1]LMP IN MST'!$AB32="NOV"),'[1]LMP IN PPT'!Q34,IF(AND('[1]LMP IN PPT'!$A34='[1]LMP IN MST'!$A32,'[1]LMP IN MST'!$Z32="DST",'[1]LMP IN MST'!$AA32="NORM",OR('[1]LMP IN MST'!$AB32="MAR",'[1]LMP IN MST'!$AB32="")),'[1]LMP IN PPT'!P34,0))))))</f>
        <v>-13.87607</v>
      </c>
      <c r="N32">
        <f>IF(AND('[1]LMP IN PPT'!$A34='[1]LMP IN MST'!$A32,'[1]LMP IN MST'!$Z32="ST",'[1]LMP IN MST'!$AA32="NORM",OR('[1]LMP IN MST'!$AB32="MAR",'[1]LMP IN MST'!$AB32="")),'[1]LMP IN PPT'!P34,IF(AND('[1]LMP IN PPT'!$A34='[1]LMP IN MST'!$A32,'[1]LMP IN MST'!$Z32="DST",'[1]LMP IN MST'!$AA32="FB",'[1]LMP IN MST'!$AB32="NOV"),'[1]LMP IN PPT'!Q34,IF(AND('[1]LMP IN PPT'!$A34='[1]LMP IN MST'!$A32,'[1]LMP IN MST'!$Z32="ST",'[1]LMP IN MST'!$AA32="NORM",'[1]LMP IN MST'!$AB32="NOV"),'[1]LMP IN PPT'!Q34,IF(AND('[1]LMP IN PPT'!$A34='[1]LMP IN MST'!$A32,'[1]LMP IN MST'!$Z32="DST",'[1]LMP IN MST'!$AA32="SF",'[1]LMP IN MST'!$AB32="MAR"),'[1]LMP IN PPT'!Q34,IF(AND('[1]LMP IN PPT'!$A34='[1]LMP IN MST'!$A32,'[1]LMP IN MST'!$Z32="DST",'[1]LMP IN MST'!$AA32="NORM",'[1]LMP IN MST'!$AB32="NOV"),'[1]LMP IN PPT'!R34,IF(AND('[1]LMP IN PPT'!$A34='[1]LMP IN MST'!$A32,'[1]LMP IN MST'!$Z32="DST",'[1]LMP IN MST'!$AA32="NORM",OR('[1]LMP IN MST'!$AB32="MAR",'[1]LMP IN MST'!$AB32="")),'[1]LMP IN PPT'!Q34,0))))))</f>
        <v>-15.76843</v>
      </c>
      <c r="O32">
        <f>IF(AND('[1]LMP IN PPT'!$A34='[1]LMP IN MST'!$A32,'[1]LMP IN MST'!$Z32="ST",'[1]LMP IN MST'!$AA32="NORM",OR('[1]LMP IN MST'!$AB32="MAR",'[1]LMP IN MST'!$AB32="")),'[1]LMP IN PPT'!Q34,IF(AND('[1]LMP IN PPT'!$A34='[1]LMP IN MST'!$A32,'[1]LMP IN MST'!$Z32="DST",'[1]LMP IN MST'!$AA32="FB",'[1]LMP IN MST'!$AB32="NOV"),'[1]LMP IN PPT'!R34,IF(AND('[1]LMP IN PPT'!$A34='[1]LMP IN MST'!$A32,'[1]LMP IN MST'!$Z32="ST",'[1]LMP IN MST'!$AA32="NORM",'[1]LMP IN MST'!$AB32="NOV"),'[1]LMP IN PPT'!R34,IF(AND('[1]LMP IN PPT'!$A34='[1]LMP IN MST'!$A32,'[1]LMP IN MST'!$Z32="DST",'[1]LMP IN MST'!$AA32="SF",'[1]LMP IN MST'!$AB32="MAR"),'[1]LMP IN PPT'!R34,IF(AND('[1]LMP IN PPT'!$A34='[1]LMP IN MST'!$A32,'[1]LMP IN MST'!$Z32="DST",'[1]LMP IN MST'!$AA32="NORM",'[1]LMP IN MST'!$AB32="NOV"),'[1]LMP IN PPT'!S34,IF(AND('[1]LMP IN PPT'!$A34='[1]LMP IN MST'!$A32,'[1]LMP IN MST'!$Z32="DST",'[1]LMP IN MST'!$AA32="NORM",OR('[1]LMP IN MST'!$AB32="MAR",'[1]LMP IN MST'!$AB32="")),'[1]LMP IN PPT'!R34,0))))))</f>
        <v>-16.010000000000002</v>
      </c>
      <c r="P32">
        <f>IF(AND('[1]LMP IN PPT'!$A34='[1]LMP IN MST'!$A32,'[1]LMP IN MST'!$Z32="ST",'[1]LMP IN MST'!$AA32="NORM",OR('[1]LMP IN MST'!$AB32="MAR",'[1]LMP IN MST'!$AB32="")),'[1]LMP IN PPT'!R34,IF(AND('[1]LMP IN PPT'!$A34='[1]LMP IN MST'!$A32,'[1]LMP IN MST'!$Z32="DST",'[1]LMP IN MST'!$AA32="FB",'[1]LMP IN MST'!$AB32="NOV"),'[1]LMP IN PPT'!S34,IF(AND('[1]LMP IN PPT'!$A34='[1]LMP IN MST'!$A32,'[1]LMP IN MST'!$Z32="ST",'[1]LMP IN MST'!$AA32="NORM",'[1]LMP IN MST'!$AB32="NOV"),'[1]LMP IN PPT'!S34,IF(AND('[1]LMP IN PPT'!$A34='[1]LMP IN MST'!$A32,'[1]LMP IN MST'!$Z32="DST",'[1]LMP IN MST'!$AA32="SF",'[1]LMP IN MST'!$AB32="MAR"),'[1]LMP IN PPT'!S34,IF(AND('[1]LMP IN PPT'!$A34='[1]LMP IN MST'!$A32,'[1]LMP IN MST'!$Z32="DST",'[1]LMP IN MST'!$AA32="NORM",'[1]LMP IN MST'!$AB32="NOV"),'[1]LMP IN PPT'!T34,IF(AND('[1]LMP IN PPT'!$A34='[1]LMP IN MST'!$A32,'[1]LMP IN MST'!$Z32="DST",'[1]LMP IN MST'!$AA32="NORM",OR('[1]LMP IN MST'!$AB32="MAR",'[1]LMP IN MST'!$AB32="")),'[1]LMP IN PPT'!S34,0))))))</f>
        <v>-14.30757</v>
      </c>
      <c r="Q32">
        <f>IF(AND('[1]LMP IN PPT'!$A34='[1]LMP IN MST'!$A32,'[1]LMP IN MST'!$Z32="ST",'[1]LMP IN MST'!$AA32="NORM",OR('[1]LMP IN MST'!$AB32="MAR",'[1]LMP IN MST'!$AB32="")),'[1]LMP IN PPT'!S34,IF(AND('[1]LMP IN PPT'!$A34='[1]LMP IN MST'!$A32,'[1]LMP IN MST'!$Z32="DST",'[1]LMP IN MST'!$AA32="FB",'[1]LMP IN MST'!$AB32="NOV"),'[1]LMP IN PPT'!T34,IF(AND('[1]LMP IN PPT'!$A34='[1]LMP IN MST'!$A32,'[1]LMP IN MST'!$Z32="ST",'[1]LMP IN MST'!$AA32="NORM",'[1]LMP IN MST'!$AB32="NOV"),'[1]LMP IN PPT'!T34,IF(AND('[1]LMP IN PPT'!$A34='[1]LMP IN MST'!$A32,'[1]LMP IN MST'!$Z32="DST",'[1]LMP IN MST'!$AA32="SF",'[1]LMP IN MST'!$AB32="MAR"),'[1]LMP IN PPT'!T34,IF(AND('[1]LMP IN PPT'!$A34='[1]LMP IN MST'!$A32,'[1]LMP IN MST'!$Z32="DST",'[1]LMP IN MST'!$AA32="NORM",'[1]LMP IN MST'!$AB32="NOV"),'[1]LMP IN PPT'!U34,IF(AND('[1]LMP IN PPT'!$A34='[1]LMP IN MST'!$A32,'[1]LMP IN MST'!$Z32="DST",'[1]LMP IN MST'!$AA32="NORM",OR('[1]LMP IN MST'!$AB32="MAR",'[1]LMP IN MST'!$AB32="")),'[1]LMP IN PPT'!T34,0))))))</f>
        <v>-8.4822699999999998</v>
      </c>
      <c r="R32">
        <f>IF(AND('[1]LMP IN PPT'!$A34='[1]LMP IN MST'!$A32,'[1]LMP IN MST'!$Z32="ST",'[1]LMP IN MST'!$AA32="NORM",OR('[1]LMP IN MST'!$AB32="MAR",'[1]LMP IN MST'!$AB32="")),'[1]LMP IN PPT'!T34,IF(AND('[1]LMP IN PPT'!$A34='[1]LMP IN MST'!$A32,'[1]LMP IN MST'!$Z32="DST",'[1]LMP IN MST'!$AA32="FB",'[1]LMP IN MST'!$AB32="NOV"),'[1]LMP IN PPT'!U34,IF(AND('[1]LMP IN PPT'!$A34='[1]LMP IN MST'!$A32,'[1]LMP IN MST'!$Z32="ST",'[1]LMP IN MST'!$AA32="NORM",'[1]LMP IN MST'!$AB32="NOV"),'[1]LMP IN PPT'!U34,IF(AND('[1]LMP IN PPT'!$A34='[1]LMP IN MST'!$A32,'[1]LMP IN MST'!$Z32="DST",'[1]LMP IN MST'!$AA32="SF",'[1]LMP IN MST'!$AB32="MAR"),'[1]LMP IN PPT'!U34,IF(AND('[1]LMP IN PPT'!$A34='[1]LMP IN MST'!$A32,'[1]LMP IN MST'!$Z32="DST",'[1]LMP IN MST'!$AA32="NORM",'[1]LMP IN MST'!$AB32="NOV"),'[1]LMP IN PPT'!V34,IF(AND('[1]LMP IN PPT'!$A34='[1]LMP IN MST'!$A32,'[1]LMP IN MST'!$Z32="DST",'[1]LMP IN MST'!$AA32="NORM",OR('[1]LMP IN MST'!$AB32="MAR",'[1]LMP IN MST'!$AB32="")),'[1]LMP IN PPT'!U34,0))))))</f>
        <v>0.58618000000000003</v>
      </c>
      <c r="S32">
        <f>IF(AND('[1]LMP IN PPT'!$A34='[1]LMP IN MST'!$A32,'[1]LMP IN MST'!$Z32="ST",'[1]LMP IN MST'!$AA32="NORM",OR('[1]LMP IN MST'!$AB32="MAR",'[1]LMP IN MST'!$AB32="")),'[1]LMP IN PPT'!U34,IF(AND('[1]LMP IN PPT'!$A34='[1]LMP IN MST'!$A32,'[1]LMP IN MST'!$Z32="DST",'[1]LMP IN MST'!$AA32="FB",'[1]LMP IN MST'!$AB32="NOV"),'[1]LMP IN PPT'!V34,IF(AND('[1]LMP IN PPT'!$A34='[1]LMP IN MST'!$A32,'[1]LMP IN MST'!$Z32="ST",'[1]LMP IN MST'!$AA32="NORM",'[1]LMP IN MST'!$AB32="NOV"),'[1]LMP IN PPT'!V34,IF(AND('[1]LMP IN PPT'!$A34='[1]LMP IN MST'!$A32,'[1]LMP IN MST'!$Z32="DST",'[1]LMP IN MST'!$AA32="SF",'[1]LMP IN MST'!$AB32="MAR"),'[1]LMP IN PPT'!V34,IF(AND('[1]LMP IN PPT'!$A34='[1]LMP IN MST'!$A32,'[1]LMP IN MST'!$Z32="DST",'[1]LMP IN MST'!$AA32="NORM",'[1]LMP IN MST'!$AB32="NOV"),'[1]LMP IN PPT'!W34,IF(AND('[1]LMP IN PPT'!$A34='[1]LMP IN MST'!$A32,'[1]LMP IN MST'!$Z32="DST",'[1]LMP IN MST'!$AA32="NORM",OR('[1]LMP IN MST'!$AB32="MAR",'[1]LMP IN MST'!$AB32="")),'[1]LMP IN PPT'!V34,0))))))</f>
        <v>27.894310000000001</v>
      </c>
      <c r="T32">
        <f>IF(AND('[1]LMP IN PPT'!$A34='[1]LMP IN MST'!$A32,'[1]LMP IN MST'!$Z32="ST",'[1]LMP IN MST'!$AA32="NORM",OR('[1]LMP IN MST'!$AB32="MAR",'[1]LMP IN MST'!$AB32="")),'[1]LMP IN PPT'!V34,IF(AND('[1]LMP IN PPT'!$A34='[1]LMP IN MST'!$A32,'[1]LMP IN MST'!$Z32="DST",'[1]LMP IN MST'!$AA32="FB",'[1]LMP IN MST'!$AB32="NOV"),'[1]LMP IN PPT'!W34,IF(AND('[1]LMP IN PPT'!$A34='[1]LMP IN MST'!$A32,'[1]LMP IN MST'!$Z32="ST",'[1]LMP IN MST'!$AA32="NORM",'[1]LMP IN MST'!$AB32="NOV"),'[1]LMP IN PPT'!W34,IF(AND('[1]LMP IN PPT'!$A34='[1]LMP IN MST'!$A32,'[1]LMP IN MST'!$Z32="DST",'[1]LMP IN MST'!$AA32="SF",'[1]LMP IN MST'!$AB32="MAR"),'[1]LMP IN PPT'!W34,IF(AND('[1]LMP IN PPT'!$A34='[1]LMP IN MST'!$A32,'[1]LMP IN MST'!$Z32="DST",'[1]LMP IN MST'!$AA32="NORM",'[1]LMP IN MST'!$AB32="NOV"),'[1]LMP IN PPT'!X34,IF(AND('[1]LMP IN PPT'!$A34='[1]LMP IN MST'!$A32,'[1]LMP IN MST'!$Z32="DST",'[1]LMP IN MST'!$AA32="NORM",OR('[1]LMP IN MST'!$AB32="MAR",'[1]LMP IN MST'!$AB32="")),'[1]LMP IN PPT'!W34,0))))))</f>
        <v>37.82488</v>
      </c>
      <c r="U32">
        <f>IF(AND('[1]LMP IN PPT'!$A34='[1]LMP IN MST'!$A32,'[1]LMP IN MST'!$Z32="ST",'[1]LMP IN MST'!$AA32="NORM",OR('[1]LMP IN MST'!$AB32="MAR",'[1]LMP IN MST'!$AB32="")),'[1]LMP IN PPT'!W34,IF(AND('[1]LMP IN PPT'!$A34='[1]LMP IN MST'!$A32,'[1]LMP IN MST'!$Z32="DST",'[1]LMP IN MST'!$AA32="FB",'[1]LMP IN MST'!$AB32="NOV"),'[1]LMP IN PPT'!X34,IF(AND('[1]LMP IN PPT'!$A34='[1]LMP IN MST'!$A32,'[1]LMP IN MST'!$Z32="ST",'[1]LMP IN MST'!$AA32="NORM",'[1]LMP IN MST'!$AB32="NOV"),'[1]LMP IN PPT'!X34,IF(AND('[1]LMP IN PPT'!$A34='[1]LMP IN MST'!$A32,'[1]LMP IN MST'!$Z32="DST",'[1]LMP IN MST'!$AA32="SF",'[1]LMP IN MST'!$AB32="MAR"),'[1]LMP IN PPT'!X34,IF(AND('[1]LMP IN PPT'!$A34='[1]LMP IN MST'!$A32,'[1]LMP IN MST'!$Z32="DST",'[1]LMP IN MST'!$AA32="NORM",'[1]LMP IN MST'!$AB32="NOV"),'[1]LMP IN PPT'!Y34,IF(AND('[1]LMP IN PPT'!$A34='[1]LMP IN MST'!$A32,'[1]LMP IN MST'!$Z32="DST",'[1]LMP IN MST'!$AA32="NORM",OR('[1]LMP IN MST'!$AB32="MAR",'[1]LMP IN MST'!$AB32="")),'[1]LMP IN PPT'!X34,0))))))</f>
        <v>38.429430000000004</v>
      </c>
      <c r="V32">
        <f>IF(AND('[1]LMP IN PPT'!$A34='[1]LMP IN MST'!$A32,'[1]LMP IN MST'!$Z32="ST",'[1]LMP IN MST'!$AA32="NORM",OR('[1]LMP IN MST'!$AB32="MAR",'[1]LMP IN MST'!$AB32="")),'[1]LMP IN PPT'!X34,IF(AND('[1]LMP IN PPT'!$A34='[1]LMP IN MST'!$A32,'[1]LMP IN MST'!$Z32="DST",'[1]LMP IN MST'!$AA32="FB",'[1]LMP IN MST'!$AB32="NOV"),'[1]LMP IN PPT'!Y34,IF(AND('[1]LMP IN PPT'!$A34='[1]LMP IN MST'!$A32,'[1]LMP IN MST'!$Z32="ST",'[1]LMP IN MST'!$AA32="NORM",'[1]LMP IN MST'!$AB32="NOV"),'[1]LMP IN PPT'!Y34,IF(AND('[1]LMP IN PPT'!$A34='[1]LMP IN MST'!$A32,'[1]LMP IN MST'!$Z32="DST",'[1]LMP IN MST'!$AA32="SF",'[1]LMP IN MST'!$AB32="MAR"),'[1]LMP IN PPT'!Y34,IF(AND('[1]LMP IN PPT'!$A34='[1]LMP IN MST'!$A32,'[1]LMP IN MST'!$Z32="DST",'[1]LMP IN MST'!$AA32="NORM",'[1]LMP IN MST'!$AB32="NOV"),'[1]LMP IN PPT'!Z34,IF(AND('[1]LMP IN PPT'!$A34='[1]LMP IN MST'!$A32,'[1]LMP IN MST'!$Z32="DST",'[1]LMP IN MST'!$AA32="NORM",OR('[1]LMP IN MST'!$AB32="MAR",'[1]LMP IN MST'!$AB32="")),'[1]LMP IN PPT'!Y34,0))))))</f>
        <v>38.327440000000003</v>
      </c>
      <c r="W32">
        <f>IF(AND('[1]LMP IN PPT'!$A34='[1]LMP IN MST'!$A32,'[1]LMP IN MST'!$Z32="ST",'[1]LMP IN MST'!$AA32="NORM",OR('[1]LMP IN MST'!$AB32="MAR",'[1]LMP IN MST'!$AB32="")),'[1]LMP IN PPT'!Y34,IF(AND('[1]LMP IN PPT'!$A34='[1]LMP IN MST'!$A32,'[1]LMP IN MST'!$Z32="DST",'[1]LMP IN MST'!$AA32="FB",'[1]LMP IN MST'!$AB32="NOV"),'[1]LMP IN PPT'!Z34,IF(AND('[1]LMP IN PPT'!$A34='[1]LMP IN MST'!$A32,'[1]LMP IN MST'!$Z32="ST",'[1]LMP IN MST'!$AA32="NORM",'[1]LMP IN MST'!$AB32="NOV"),'[1]LMP IN PPT'!Z34,IF(AND('[1]LMP IN PPT'!$A34='[1]LMP IN MST'!$A32,'[1]LMP IN MST'!$Z32="DST",'[1]LMP IN MST'!$AA32="SF",'[1]LMP IN MST'!$AB32="MAR"),'[1]LMP IN PPT'!Z34,IF(AND('[1]LMP IN PPT'!$A34='[1]LMP IN MST'!$A32,'[1]LMP IN MST'!$Z32="DST",'[1]LMP IN MST'!$AA32="NORM",'[1]LMP IN MST'!$AB32="NOV"),'[1]LMP IN PPT'!AA34,IF(AND('[1]LMP IN PPT'!$A34='[1]LMP IN MST'!$A32,'[1]LMP IN MST'!$Z32="DST",'[1]LMP IN MST'!$AA32="NORM",OR('[1]LMP IN MST'!$AB32="MAR",'[1]LMP IN MST'!$AB32="")),'[1]LMP IN PPT'!Z34,0))))))</f>
        <v>38.053440000000002</v>
      </c>
      <c r="X32">
        <f>IF(AND('[1]LMP IN PPT'!$A34='[1]LMP IN MST'!$A32,'[1]LMP IN MST'!$Z32="ST",'[1]LMP IN MST'!$AA32="NORM",OR('[1]LMP IN MST'!$AB32="MAR",'[1]LMP IN MST'!$AB32="")),'[1]LMP IN PPT'!Z34,IF(AND('[1]LMP IN PPT'!$A34='[1]LMP IN MST'!$A32,'[1]LMP IN MST'!$Z32="DST",'[1]LMP IN MST'!$AA32="FB",'[1]LMP IN MST'!$AB32="NOV"),'[1]LMP IN PPT'!AA34,IF(AND('[1]LMP IN PPT'!$A34='[1]LMP IN MST'!$A32,'[1]LMP IN MST'!$Z32="ST",'[1]LMP IN MST'!$AA32="NORM",'[1]LMP IN MST'!$AB32="NOV"),'[1]LMP IN PPT'!AA34,IF(AND('[1]LMP IN PPT'!$A34='[1]LMP IN MST'!$A32,'[1]LMP IN MST'!$Z32="DST",'[1]LMP IN MST'!$AA32="SF",'[1]LMP IN MST'!$AB32="MAR"),'[1]LMP IN PPT'!AA34,IF(AND('[1]LMP IN PPT'!$A34='[1]LMP IN MST'!$A32,'[1]LMP IN MST'!$Z32="DST",'[1]LMP IN MST'!$AA32="NORM",'[1]LMP IN MST'!$AB32="NOV"),'[1]LMP IN PPT'!AB34,IF(AND('[1]LMP IN PPT'!$A34='[1]LMP IN MST'!$A32,'[1]LMP IN MST'!$Z32="DST",'[1]LMP IN MST'!$AA32="NORM",OR('[1]LMP IN MST'!$AB32="MAR",'[1]LMP IN MST'!$AB32="")),'[1]LMP IN PPT'!AA34,0))))))</f>
        <v>37.805959999999999</v>
      </c>
      <c r="Y32">
        <f>IF(AND('[1]LMP IN PPT'!$A34='[1]LMP IN MST'!$A32,'[1]LMP IN MST'!$Z32="ST",'[1]LMP IN MST'!$AA32="NORM",OR('[1]LMP IN MST'!$AB32="MAR",'[1]LMP IN MST'!$AB32="")),'[1]LMP IN PPT'!AA34,IF(AND('[1]LMP IN PPT'!$A34='[1]LMP IN MST'!$A32,'[1]LMP IN MST'!$Z32="DST",'[1]LMP IN MST'!$AA32="FB",'[1]LMP IN MST'!$AB32="NOV"),'[1]LMP IN PPT'!AB34,IF(AND('[1]LMP IN PPT'!$A34='[1]LMP IN MST'!$A32,'[1]LMP IN MST'!$Z32="ST",'[1]LMP IN MST'!$AA32="NORM",'[1]LMP IN MST'!$AB32="NOV"),'[1]LMP IN PPT'!AB34,IF(AND('[1]LMP IN PPT'!$A34='[1]LMP IN MST'!$A32,'[1]LMP IN MST'!$Z32="DST",'[1]LMP IN MST'!$AA32="SF",'[1]LMP IN MST'!$AB32="MAR"),'[1]LMP IN PPT'!AB34,IF(AND('[1]LMP IN PPT'!$A34='[1]LMP IN MST'!$A32,'[1]LMP IN MST'!$Z32="DST",'[1]LMP IN MST'!$AA32="NORM",'[1]LMP IN MST'!$AB32="NOV"),'[1]LMP IN PPT'!AC34,IF(AND('[1]LMP IN PPT'!$A34='[1]LMP IN MST'!$A32,'[1]LMP IN MST'!$Z32="DST",'[1]LMP IN MST'!$AA32="NORM",OR('[1]LMP IN MST'!$AB32="MAR",'[1]LMP IN MST'!$AB32="")),'[1]LMP IN PPT'!AB34,0))))))</f>
        <v>37.880920000000003</v>
      </c>
    </row>
    <row r="33" spans="1:13" x14ac:dyDescent="0.3">
      <c r="A33" s="1"/>
    </row>
    <row r="34" spans="1:13" x14ac:dyDescent="0.3">
      <c r="A34" s="1"/>
    </row>
    <row r="35" spans="1:13" x14ac:dyDescent="0.3">
      <c r="A35" s="2" t="s">
        <v>25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3">
      <c r="A36" s="2" t="s">
        <v>26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3">
      <c r="A37" s="4" t="s">
        <v>27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1:13" x14ac:dyDescent="0.3">
      <c r="A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Western Area Power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Russell</dc:creator>
  <cp:lastModifiedBy>Benally, Dino</cp:lastModifiedBy>
  <dcterms:created xsi:type="dcterms:W3CDTF">2024-03-07T22:18:18Z</dcterms:created>
  <dcterms:modified xsi:type="dcterms:W3CDTF">2024-04-05T17:32:24Z</dcterms:modified>
</cp:coreProperties>
</file>